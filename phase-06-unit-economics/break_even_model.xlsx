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K 24-Mo Break-Even" sheetId="1" state="visible" r:id="rId1"/>
    <sheet name="Comparative Break-Even" sheetId="2" state="visible" r:id="rId2"/>
    <sheet name="Break-Even 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3" fillId="0" borderId="1" pivotButton="0" quotePrefix="0" xfId="0"/>
    <xf numFmtId="3" fontId="0" fillId="2" borderId="1" pivotButton="0" quotePrefix="0" xfId="0"/>
    <xf numFmtId="164" fontId="0" fillId="4" borderId="1" pivotButton="0" quotePrefix="0" xfId="0"/>
    <xf numFmtId="164" fontId="3" fillId="4" borderId="1" pivotButton="0" quotePrefix="0" xfId="0"/>
    <xf numFmtId="164" fontId="0" fillId="2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3" fillId="4" borderId="1" pivotButton="0" quotePrefix="0" xfId="0"/>
    <xf numFmtId="49" fontId="0" fillId="0" borderId="1" pivotButton="0" quotePrefix="0" xfId="0"/>
    <xf numFmtId="0" fontId="3" fillId="5" borderId="1" pivotButton="0" quotePrefix="0" xfId="0"/>
    <xf numFmtId="0" fontId="5" fillId="3" borderId="0" pivotButton="0" quotePrefix="0" xfId="0"/>
    <xf numFmtId="0" fontId="5" fillId="6" borderId="0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14" customWidth="1" min="2" max="2"/>
    <col width="22" customWidth="1" min="3" max="3"/>
    <col width="21" customWidth="1" min="4" max="4"/>
    <col width="27" customWidth="1" min="5" max="5"/>
    <col width="25" customWidth="1" min="6" max="6"/>
    <col width="28" customWidth="1" min="7" max="7"/>
    <col width="27" customWidth="1" min="8" max="8"/>
    <col width="66" customWidth="1" min="9" max="9"/>
  </cols>
  <sheetData>
    <row r="1">
      <c r="A1" s="1" t="inlineStr">
        <is>
          <t>NovaHome UK Market Entry — 24-Month Monthly Cash Flow &amp; Break-Even Model</t>
        </is>
      </c>
    </row>
    <row r="2">
      <c r="A2" s="2" t="inlineStr">
        <is>
          <t>D2C Model with Local 3PL Fulfillment | Currency: USD | Initial Launch Capex: $420,000</t>
        </is>
      </c>
    </row>
    <row r="3"/>
    <row r="4">
      <c r="A4" s="3" t="inlineStr">
        <is>
          <t>Key Financial Parameters:</t>
        </is>
      </c>
    </row>
    <row r="5">
      <c r="A5" s="4" t="inlineStr">
        <is>
          <t>Selling Price (ASP)</t>
        </is>
      </c>
      <c r="B5" s="5" t="inlineStr">
        <is>
          <t>$910.00</t>
        </is>
      </c>
    </row>
    <row r="6">
      <c r="A6" s="4" t="inlineStr">
        <is>
          <t>Variable Cost / Unit</t>
        </is>
      </c>
      <c r="B6" s="5" t="inlineStr">
        <is>
          <t>$732.33</t>
        </is>
      </c>
    </row>
    <row r="7">
      <c r="A7" s="4" t="inlineStr">
        <is>
          <t>Contribution / Unit</t>
        </is>
      </c>
      <c r="B7" s="5" t="inlineStr">
        <is>
          <t>$177.67</t>
        </is>
      </c>
    </row>
    <row r="8">
      <c r="A8" s="4" t="inlineStr">
        <is>
          <t>Contribution Margin</t>
        </is>
      </c>
      <c r="B8" s="5" t="inlineStr">
        <is>
          <t>19.5%</t>
        </is>
      </c>
    </row>
    <row r="9">
      <c r="A9" s="4" t="inlineStr">
        <is>
          <t>Monthly Fixed Opex</t>
        </is>
      </c>
      <c r="B9" s="5" t="inlineStr">
        <is>
          <t>$26,000.00</t>
        </is>
      </c>
    </row>
    <row r="10">
      <c r="A10" s="4" t="inlineStr">
        <is>
          <t>Initial Launch Capex</t>
        </is>
      </c>
      <c r="B10" s="5" t="inlineStr">
        <is>
          <t>$420,000.00</t>
        </is>
      </c>
    </row>
    <row r="11"/>
    <row r="12" ht="26" customHeight="1">
      <c r="A12" s="6" t="inlineStr">
        <is>
          <t>Month</t>
        </is>
      </c>
      <c r="B12" s="6" t="inlineStr">
        <is>
          <t>Sales Units</t>
        </is>
      </c>
      <c r="C12" s="6" t="inlineStr">
        <is>
          <t>Monthly Revenue ($)</t>
        </is>
      </c>
      <c r="D12" s="6" t="inlineStr">
        <is>
          <t>Variable Costs ($)</t>
        </is>
      </c>
      <c r="E12" s="6" t="inlineStr">
        <is>
          <t>Monthly Contribution ($)</t>
        </is>
      </c>
      <c r="F12" s="6" t="inlineStr">
        <is>
          <t>Monthly Fixed Opex ($)</t>
        </is>
      </c>
      <c r="G12" s="6" t="inlineStr">
        <is>
          <t>Monthly Net Cash Flow ($)</t>
        </is>
      </c>
      <c r="H12" s="6" t="inlineStr">
        <is>
          <t>Cumulative Cash Flow ($)</t>
        </is>
      </c>
      <c r="I12" s="6" t="inlineStr">
        <is>
          <t>Status</t>
        </is>
      </c>
    </row>
    <row r="13">
      <c r="A13" s="7" t="inlineStr">
        <is>
          <t>Month 1</t>
        </is>
      </c>
      <c r="B13" s="8" t="n">
        <v>40</v>
      </c>
      <c r="C13" s="9">
        <f>B13*910.0</f>
        <v/>
      </c>
      <c r="D13" s="9">
        <f>B13*732.33</f>
        <v/>
      </c>
      <c r="E13" s="10">
        <f>C13-D13</f>
        <v/>
      </c>
      <c r="F13" s="11" t="n">
        <v>26000</v>
      </c>
      <c r="G13" s="9">
        <f>E13-F13</f>
        <v/>
      </c>
      <c r="H13" s="10">
        <f>-420000.0+G13</f>
        <v/>
      </c>
      <c r="I13" s="7">
        <f>IF(H13&gt;=0, "BREAK-EVEN ACHIEVED", "Investment Payback Window")</f>
        <v/>
      </c>
    </row>
    <row r="14">
      <c r="A14" s="7" t="inlineStr">
        <is>
          <t>Month 2</t>
        </is>
      </c>
      <c r="B14" s="8" t="n">
        <v>55</v>
      </c>
      <c r="C14" s="9">
        <f>B14*910.0</f>
        <v/>
      </c>
      <c r="D14" s="9">
        <f>B14*732.33</f>
        <v/>
      </c>
      <c r="E14" s="10">
        <f>C14-D14</f>
        <v/>
      </c>
      <c r="F14" s="11" t="n">
        <v>26000</v>
      </c>
      <c r="G14" s="9">
        <f>E14-F14</f>
        <v/>
      </c>
      <c r="H14" s="10">
        <f>H13+G14</f>
        <v/>
      </c>
      <c r="I14" s="7">
        <f>IF(H14&gt;=0, "BREAK-EVEN ACHIEVED", "Investment Payback Window")</f>
        <v/>
      </c>
    </row>
    <row r="15">
      <c r="A15" s="7" t="inlineStr">
        <is>
          <t>Month 3</t>
        </is>
      </c>
      <c r="B15" s="8" t="n">
        <v>70</v>
      </c>
      <c r="C15" s="9">
        <f>B15*910.0</f>
        <v/>
      </c>
      <c r="D15" s="9">
        <f>B15*732.33</f>
        <v/>
      </c>
      <c r="E15" s="10">
        <f>C15-D15</f>
        <v/>
      </c>
      <c r="F15" s="11" t="n">
        <v>26000</v>
      </c>
      <c r="G15" s="9">
        <f>E15-F15</f>
        <v/>
      </c>
      <c r="H15" s="10">
        <f>H14+G15</f>
        <v/>
      </c>
      <c r="I15" s="7">
        <f>IF(H15&gt;=0, "BREAK-EVEN ACHIEVED", "Investment Payback Window")</f>
        <v/>
      </c>
    </row>
    <row r="16">
      <c r="A16" s="7" t="inlineStr">
        <is>
          <t>Month 4</t>
        </is>
      </c>
      <c r="B16" s="8" t="n">
        <v>90</v>
      </c>
      <c r="C16" s="9">
        <f>B16*910.0</f>
        <v/>
      </c>
      <c r="D16" s="9">
        <f>B16*732.33</f>
        <v/>
      </c>
      <c r="E16" s="10">
        <f>C16-D16</f>
        <v/>
      </c>
      <c r="F16" s="11" t="n">
        <v>26000</v>
      </c>
      <c r="G16" s="9">
        <f>E16-F16</f>
        <v/>
      </c>
      <c r="H16" s="10">
        <f>H15+G16</f>
        <v/>
      </c>
      <c r="I16" s="7">
        <f>IF(H16&gt;=0, "BREAK-EVEN ACHIEVED", "Investment Payback Window")</f>
        <v/>
      </c>
    </row>
    <row r="17">
      <c r="A17" s="7" t="inlineStr">
        <is>
          <t>Month 5</t>
        </is>
      </c>
      <c r="B17" s="8" t="n">
        <v>115</v>
      </c>
      <c r="C17" s="9">
        <f>B17*910.0</f>
        <v/>
      </c>
      <c r="D17" s="9">
        <f>B17*732.33</f>
        <v/>
      </c>
      <c r="E17" s="10">
        <f>C17-D17</f>
        <v/>
      </c>
      <c r="F17" s="11" t="n">
        <v>26000</v>
      </c>
      <c r="G17" s="9">
        <f>E17-F17</f>
        <v/>
      </c>
      <c r="H17" s="10">
        <f>H16+G17</f>
        <v/>
      </c>
      <c r="I17" s="7">
        <f>IF(H17&gt;=0, "BREAK-EVEN ACHIEVED", "Investment Payback Window")</f>
        <v/>
      </c>
    </row>
    <row r="18">
      <c r="A18" s="7" t="inlineStr">
        <is>
          <t>Month 6</t>
        </is>
      </c>
      <c r="B18" s="8" t="n">
        <v>140</v>
      </c>
      <c r="C18" s="9">
        <f>B18*910.0</f>
        <v/>
      </c>
      <c r="D18" s="9">
        <f>B18*732.33</f>
        <v/>
      </c>
      <c r="E18" s="10">
        <f>C18-D18</f>
        <v/>
      </c>
      <c r="F18" s="11" t="n">
        <v>26000</v>
      </c>
      <c r="G18" s="9">
        <f>E18-F18</f>
        <v/>
      </c>
      <c r="H18" s="10">
        <f>H17+G18</f>
        <v/>
      </c>
      <c r="I18" s="7">
        <f>IF(H18&gt;=0, "BREAK-EVEN ACHIEVED", "Investment Payback Window")</f>
        <v/>
      </c>
    </row>
    <row r="19">
      <c r="A19" s="7" t="inlineStr">
        <is>
          <t>Month 7</t>
        </is>
      </c>
      <c r="B19" s="8" t="n">
        <v>165</v>
      </c>
      <c r="C19" s="9">
        <f>B19*910.0</f>
        <v/>
      </c>
      <c r="D19" s="9">
        <f>B19*732.33</f>
        <v/>
      </c>
      <c r="E19" s="10">
        <f>C19-D19</f>
        <v/>
      </c>
      <c r="F19" s="11" t="n">
        <v>26000</v>
      </c>
      <c r="G19" s="9">
        <f>E19-F19</f>
        <v/>
      </c>
      <c r="H19" s="10">
        <f>H18+G19</f>
        <v/>
      </c>
      <c r="I19" s="7">
        <f>IF(H19&gt;=0, "BREAK-EVEN ACHIEVED", "Investment Payback Window")</f>
        <v/>
      </c>
    </row>
    <row r="20">
      <c r="A20" s="7" t="inlineStr">
        <is>
          <t>Month 8</t>
        </is>
      </c>
      <c r="B20" s="8" t="n">
        <v>190</v>
      </c>
      <c r="C20" s="9">
        <f>B20*910.0</f>
        <v/>
      </c>
      <c r="D20" s="9">
        <f>B20*732.33</f>
        <v/>
      </c>
      <c r="E20" s="10">
        <f>C20-D20</f>
        <v/>
      </c>
      <c r="F20" s="11" t="n">
        <v>26000</v>
      </c>
      <c r="G20" s="9">
        <f>E20-F20</f>
        <v/>
      </c>
      <c r="H20" s="10">
        <f>H19+G20</f>
        <v/>
      </c>
      <c r="I20" s="7">
        <f>IF(H20&gt;=0, "BREAK-EVEN ACHIEVED", "Investment Payback Window")</f>
        <v/>
      </c>
    </row>
    <row r="21">
      <c r="A21" s="7" t="inlineStr">
        <is>
          <t>Month 9</t>
        </is>
      </c>
      <c r="B21" s="8" t="n">
        <v>215</v>
      </c>
      <c r="C21" s="9">
        <f>B21*910.0</f>
        <v/>
      </c>
      <c r="D21" s="9">
        <f>B21*732.33</f>
        <v/>
      </c>
      <c r="E21" s="10">
        <f>C21-D21</f>
        <v/>
      </c>
      <c r="F21" s="11" t="n">
        <v>26000</v>
      </c>
      <c r="G21" s="9">
        <f>E21-F21</f>
        <v/>
      </c>
      <c r="H21" s="10">
        <f>H20+G21</f>
        <v/>
      </c>
      <c r="I21" s="7">
        <f>IF(H21&gt;=0, "BREAK-EVEN ACHIEVED", "Investment Payback Window")</f>
        <v/>
      </c>
    </row>
    <row r="22">
      <c r="A22" s="7" t="inlineStr">
        <is>
          <t>Month 10</t>
        </is>
      </c>
      <c r="B22" s="8" t="n">
        <v>235</v>
      </c>
      <c r="C22" s="9">
        <f>B22*910.0</f>
        <v/>
      </c>
      <c r="D22" s="9">
        <f>B22*732.33</f>
        <v/>
      </c>
      <c r="E22" s="10">
        <f>C22-D22</f>
        <v/>
      </c>
      <c r="F22" s="11" t="n">
        <v>26000</v>
      </c>
      <c r="G22" s="9">
        <f>E22-F22</f>
        <v/>
      </c>
      <c r="H22" s="10">
        <f>H21+G22</f>
        <v/>
      </c>
      <c r="I22" s="7">
        <f>IF(H22&gt;=0, "BREAK-EVEN ACHIEVED", "Investment Payback Window")</f>
        <v/>
      </c>
    </row>
    <row r="23">
      <c r="A23" s="7" t="inlineStr">
        <is>
          <t>Month 11</t>
        </is>
      </c>
      <c r="B23" s="8" t="n">
        <v>250</v>
      </c>
      <c r="C23" s="9">
        <f>B23*910.0</f>
        <v/>
      </c>
      <c r="D23" s="9">
        <f>B23*732.33</f>
        <v/>
      </c>
      <c r="E23" s="10">
        <f>C23-D23</f>
        <v/>
      </c>
      <c r="F23" s="11" t="n">
        <v>26000</v>
      </c>
      <c r="G23" s="9">
        <f>E23-F23</f>
        <v/>
      </c>
      <c r="H23" s="10">
        <f>H22+G23</f>
        <v/>
      </c>
      <c r="I23" s="7">
        <f>IF(H23&gt;=0, "BREAK-EVEN ACHIEVED", "Investment Payback Window")</f>
        <v/>
      </c>
    </row>
    <row r="24">
      <c r="A24" s="7" t="inlineStr">
        <is>
          <t>Month 12</t>
        </is>
      </c>
      <c r="B24" s="8" t="n">
        <v>260</v>
      </c>
      <c r="C24" s="9">
        <f>B24*910.0</f>
        <v/>
      </c>
      <c r="D24" s="9">
        <f>B24*732.33</f>
        <v/>
      </c>
      <c r="E24" s="10">
        <f>C24-D24</f>
        <v/>
      </c>
      <c r="F24" s="11" t="n">
        <v>26000</v>
      </c>
      <c r="G24" s="9">
        <f>E24-F24</f>
        <v/>
      </c>
      <c r="H24" s="10">
        <f>H23+G24</f>
        <v/>
      </c>
      <c r="I24" s="7">
        <f>IF(H24&gt;=0, "BREAK-EVEN ACHIEVED", "Investment Payback Window")</f>
        <v/>
      </c>
    </row>
    <row r="25">
      <c r="A25" s="7" t="inlineStr">
        <is>
          <t>Month 13</t>
        </is>
      </c>
      <c r="B25" s="8" t="n">
        <v>280</v>
      </c>
      <c r="C25" s="9">
        <f>B25*910.0</f>
        <v/>
      </c>
      <c r="D25" s="9">
        <f>B25*732.33</f>
        <v/>
      </c>
      <c r="E25" s="10">
        <f>C25-D25</f>
        <v/>
      </c>
      <c r="F25" s="11" t="n">
        <v>26000</v>
      </c>
      <c r="G25" s="9">
        <f>E25-F25</f>
        <v/>
      </c>
      <c r="H25" s="10">
        <f>H24+G25</f>
        <v/>
      </c>
      <c r="I25" s="7">
        <f>IF(H25&gt;=0, "BREAK-EVEN ACHIEVED", "Investment Payback Window")</f>
        <v/>
      </c>
    </row>
    <row r="26">
      <c r="A26" s="7" t="inlineStr">
        <is>
          <t>Month 14</t>
        </is>
      </c>
      <c r="B26" s="8" t="n">
        <v>305</v>
      </c>
      <c r="C26" s="9">
        <f>B26*910.0</f>
        <v/>
      </c>
      <c r="D26" s="9">
        <f>B26*732.33</f>
        <v/>
      </c>
      <c r="E26" s="10">
        <f>C26-D26</f>
        <v/>
      </c>
      <c r="F26" s="11" t="n">
        <v>26000</v>
      </c>
      <c r="G26" s="9">
        <f>E26-F26</f>
        <v/>
      </c>
      <c r="H26" s="10">
        <f>H25+G26</f>
        <v/>
      </c>
      <c r="I26" s="7">
        <f>IF(H26&gt;=0, "BREAK-EVEN ACHIEVED", "Investment Payback Window")</f>
        <v/>
      </c>
    </row>
    <row r="27">
      <c r="A27" s="7" t="inlineStr">
        <is>
          <t>Month 15</t>
        </is>
      </c>
      <c r="B27" s="8" t="n">
        <v>330</v>
      </c>
      <c r="C27" s="9">
        <f>B27*910.0</f>
        <v/>
      </c>
      <c r="D27" s="9">
        <f>B27*732.33</f>
        <v/>
      </c>
      <c r="E27" s="10">
        <f>C27-D27</f>
        <v/>
      </c>
      <c r="F27" s="11" t="n">
        <v>26000</v>
      </c>
      <c r="G27" s="9">
        <f>E27-F27</f>
        <v/>
      </c>
      <c r="H27" s="10">
        <f>H26+G27</f>
        <v/>
      </c>
      <c r="I27" s="7">
        <f>IF(H27&gt;=0, "BREAK-EVEN ACHIEVED", "Investment Payback Window")</f>
        <v/>
      </c>
    </row>
    <row r="28">
      <c r="A28" s="7" t="inlineStr">
        <is>
          <t>Month 16</t>
        </is>
      </c>
      <c r="B28" s="8" t="n">
        <v>360</v>
      </c>
      <c r="C28" s="9">
        <f>B28*910.0</f>
        <v/>
      </c>
      <c r="D28" s="9">
        <f>B28*732.33</f>
        <v/>
      </c>
      <c r="E28" s="10">
        <f>C28-D28</f>
        <v/>
      </c>
      <c r="F28" s="11" t="n">
        <v>26000</v>
      </c>
      <c r="G28" s="9">
        <f>E28-F28</f>
        <v/>
      </c>
      <c r="H28" s="10">
        <f>H27+G28</f>
        <v/>
      </c>
      <c r="I28" s="7">
        <f>IF(H28&gt;=0, "BREAK-EVEN ACHIEVED", "Investment Payback Window")</f>
        <v/>
      </c>
    </row>
    <row r="29">
      <c r="A29" s="7" t="inlineStr">
        <is>
          <t>Month 17</t>
        </is>
      </c>
      <c r="B29" s="8" t="n">
        <v>390</v>
      </c>
      <c r="C29" s="9">
        <f>B29*910.0</f>
        <v/>
      </c>
      <c r="D29" s="9">
        <f>B29*732.33</f>
        <v/>
      </c>
      <c r="E29" s="10">
        <f>C29-D29</f>
        <v/>
      </c>
      <c r="F29" s="11" t="n">
        <v>26000</v>
      </c>
      <c r="G29" s="9">
        <f>E29-F29</f>
        <v/>
      </c>
      <c r="H29" s="10">
        <f>H28+G29</f>
        <v/>
      </c>
      <c r="I29" s="7">
        <f>IF(H29&gt;=0, "BREAK-EVEN ACHIEVED", "Investment Payback Window")</f>
        <v/>
      </c>
    </row>
    <row r="30">
      <c r="A30" s="7" t="inlineStr">
        <is>
          <t>Month 18</t>
        </is>
      </c>
      <c r="B30" s="8" t="n">
        <v>420</v>
      </c>
      <c r="C30" s="9">
        <f>B30*910.0</f>
        <v/>
      </c>
      <c r="D30" s="9">
        <f>B30*732.33</f>
        <v/>
      </c>
      <c r="E30" s="10">
        <f>C30-D30</f>
        <v/>
      </c>
      <c r="F30" s="11" t="n">
        <v>26000</v>
      </c>
      <c r="G30" s="9">
        <f>E30-F30</f>
        <v/>
      </c>
      <c r="H30" s="10">
        <f>H29+G30</f>
        <v/>
      </c>
      <c r="I30" s="7">
        <f>IF(H30&gt;=0, "BREAK-EVEN ACHIEVED", "Investment Payback Window")</f>
        <v/>
      </c>
    </row>
    <row r="31">
      <c r="A31" s="7" t="inlineStr">
        <is>
          <t>Month 19</t>
        </is>
      </c>
      <c r="B31" s="8" t="n">
        <v>450</v>
      </c>
      <c r="C31" s="9">
        <f>B31*910.0</f>
        <v/>
      </c>
      <c r="D31" s="9">
        <f>B31*732.33</f>
        <v/>
      </c>
      <c r="E31" s="10">
        <f>C31-D31</f>
        <v/>
      </c>
      <c r="F31" s="11" t="n">
        <v>26000</v>
      </c>
      <c r="G31" s="9">
        <f>E31-F31</f>
        <v/>
      </c>
      <c r="H31" s="10">
        <f>H30+G31</f>
        <v/>
      </c>
      <c r="I31" s="7">
        <f>IF(H31&gt;=0, "BREAK-EVEN ACHIEVED", "Investment Payback Window")</f>
        <v/>
      </c>
    </row>
    <row r="32">
      <c r="A32" s="7" t="inlineStr">
        <is>
          <t>Month 20</t>
        </is>
      </c>
      <c r="B32" s="8" t="n">
        <v>480</v>
      </c>
      <c r="C32" s="9">
        <f>B32*910.0</f>
        <v/>
      </c>
      <c r="D32" s="9">
        <f>B32*732.33</f>
        <v/>
      </c>
      <c r="E32" s="10">
        <f>C32-D32</f>
        <v/>
      </c>
      <c r="F32" s="11" t="n">
        <v>26000</v>
      </c>
      <c r="G32" s="9">
        <f>E32-F32</f>
        <v/>
      </c>
      <c r="H32" s="10">
        <f>H31+G32</f>
        <v/>
      </c>
      <c r="I32" s="7">
        <f>IF(H32&gt;=0, "BREAK-EVEN ACHIEVED", "Investment Payback Window")</f>
        <v/>
      </c>
    </row>
    <row r="33">
      <c r="A33" s="7" t="inlineStr">
        <is>
          <t>Month 21</t>
        </is>
      </c>
      <c r="B33" s="8" t="n">
        <v>505</v>
      </c>
      <c r="C33" s="9">
        <f>B33*910.0</f>
        <v/>
      </c>
      <c r="D33" s="9">
        <f>B33*732.33</f>
        <v/>
      </c>
      <c r="E33" s="10">
        <f>C33-D33</f>
        <v/>
      </c>
      <c r="F33" s="11" t="n">
        <v>26000</v>
      </c>
      <c r="G33" s="9">
        <f>E33-F33</f>
        <v/>
      </c>
      <c r="H33" s="10">
        <f>H32+G33</f>
        <v/>
      </c>
      <c r="I33" s="7">
        <f>IF(H33&gt;=0, "BREAK-EVEN ACHIEVED", "Investment Payback Window")</f>
        <v/>
      </c>
    </row>
    <row r="34">
      <c r="A34" s="7" t="inlineStr">
        <is>
          <t>Month 22</t>
        </is>
      </c>
      <c r="B34" s="8" t="n">
        <v>525</v>
      </c>
      <c r="C34" s="9">
        <f>B34*910.0</f>
        <v/>
      </c>
      <c r="D34" s="9">
        <f>B34*732.33</f>
        <v/>
      </c>
      <c r="E34" s="10">
        <f>C34-D34</f>
        <v/>
      </c>
      <c r="F34" s="11" t="n">
        <v>26000</v>
      </c>
      <c r="G34" s="9">
        <f>E34-F34</f>
        <v/>
      </c>
      <c r="H34" s="10">
        <f>H33+G34</f>
        <v/>
      </c>
      <c r="I34" s="7">
        <f>IF(H34&gt;=0, "BREAK-EVEN ACHIEVED", "Investment Payback Window")</f>
        <v/>
      </c>
    </row>
    <row r="35">
      <c r="A35" s="7" t="inlineStr">
        <is>
          <t>Month 23</t>
        </is>
      </c>
      <c r="B35" s="8" t="n">
        <v>540</v>
      </c>
      <c r="C35" s="9">
        <f>B35*910.0</f>
        <v/>
      </c>
      <c r="D35" s="9">
        <f>B35*732.33</f>
        <v/>
      </c>
      <c r="E35" s="10">
        <f>C35-D35</f>
        <v/>
      </c>
      <c r="F35" s="11" t="n">
        <v>26000</v>
      </c>
      <c r="G35" s="9">
        <f>E35-F35</f>
        <v/>
      </c>
      <c r="H35" s="10">
        <f>H34+G35</f>
        <v/>
      </c>
      <c r="I35" s="7">
        <f>IF(H35&gt;=0, "BREAK-EVEN ACHIEVED", "Investment Payback Window")</f>
        <v/>
      </c>
    </row>
    <row r="36">
      <c r="A36" s="7" t="inlineStr">
        <is>
          <t>Month 24</t>
        </is>
      </c>
      <c r="B36" s="8" t="n">
        <v>550</v>
      </c>
      <c r="C36" s="9">
        <f>B36*910.0</f>
        <v/>
      </c>
      <c r="D36" s="9">
        <f>B36*732.33</f>
        <v/>
      </c>
      <c r="E36" s="10">
        <f>C36-D36</f>
        <v/>
      </c>
      <c r="F36" s="11" t="n">
        <v>26000</v>
      </c>
      <c r="G36" s="9">
        <f>E36-F36</f>
        <v/>
      </c>
      <c r="H36" s="10">
        <f>H35+G36</f>
        <v/>
      </c>
      <c r="I36" s="7">
        <f>IF(H36&gt;=0, "BREAK-EVEN ACHIEVED", "Investment Payback Window")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87" customWidth="1" min="1" max="1"/>
    <col width="26" customWidth="1" min="2" max="2"/>
    <col width="26" customWidth="1" min="3" max="3"/>
    <col width="19" customWidth="1" min="4" max="4"/>
    <col width="25" customWidth="1" min="5" max="5"/>
    <col width="28" customWidth="1" min="6" max="6"/>
    <col width="30" customWidth="1" min="7" max="7"/>
    <col width="39" customWidth="1" min="8" max="8"/>
  </cols>
  <sheetData>
    <row r="1">
      <c r="A1" s="1" t="inlineStr">
        <is>
          <t>NovaHome International Candidate Break-Even &amp; Payback Comparison</t>
        </is>
      </c>
    </row>
    <row r="2">
      <c r="A2" s="2" t="inlineStr">
        <is>
          <t>Comparative Analysis Across Target Candidate Markets (18-Month Board Hurdle Ceiling)</t>
        </is>
      </c>
    </row>
    <row r="3"/>
    <row r="4"/>
    <row r="5" ht="26" customHeight="1">
      <c r="A5" s="6" t="inlineStr">
        <is>
          <t>Candidate Market</t>
        </is>
      </c>
      <c r="B5" s="6" t="inlineStr">
        <is>
          <t>Contribution / Unit ($)</t>
        </is>
      </c>
      <c r="C5" s="6" t="inlineStr">
        <is>
          <t>Contribution Margin (%)</t>
        </is>
      </c>
      <c r="D5" s="6" t="inlineStr">
        <is>
          <t>Launch Capex ($)</t>
        </is>
      </c>
      <c r="E5" s="6" t="inlineStr">
        <is>
          <t>Monthly Fixed Opex ($)</t>
        </is>
      </c>
      <c r="F5" s="6" t="inlineStr">
        <is>
          <t>Monthly Break-Even Volume</t>
        </is>
      </c>
      <c r="G5" s="6" t="inlineStr">
        <is>
          <t>Cumulative Break-Even Month</t>
        </is>
      </c>
      <c r="H5" s="6" t="inlineStr">
        <is>
          <t>Board Hurdle Status</t>
        </is>
      </c>
    </row>
    <row r="6">
      <c r="A6" s="7" t="inlineStr">
        <is>
          <t>United Kingdom</t>
        </is>
      </c>
      <c r="B6" s="12" t="n">
        <v>177.67</v>
      </c>
      <c r="C6" s="13" t="n">
        <v>0.195</v>
      </c>
      <c r="D6" s="14" t="n">
        <v>420000</v>
      </c>
      <c r="E6" s="14" t="n">
        <v>26000</v>
      </c>
      <c r="F6" s="15" t="n">
        <v>146</v>
      </c>
      <c r="G6" s="7" t="inlineStr">
        <is>
          <t>Month 14</t>
        </is>
      </c>
      <c r="H6" s="16" t="inlineStr">
        <is>
          <t>PASSED (Within 18-Mo Hurdle)</t>
        </is>
      </c>
    </row>
    <row r="7">
      <c r="A7" s="7" t="inlineStr">
        <is>
          <t>Germany</t>
        </is>
      </c>
      <c r="B7" s="12" t="n">
        <v>192.12</v>
      </c>
      <c r="C7" s="13" t="n">
        <v>0.2</v>
      </c>
      <c r="D7" s="14" t="n">
        <v>680000</v>
      </c>
      <c r="E7" s="14" t="n">
        <v>28000</v>
      </c>
      <c r="F7" s="15" t="n">
        <v>146</v>
      </c>
      <c r="G7" s="7" t="inlineStr">
        <is>
          <t>Month 16</t>
        </is>
      </c>
      <c r="H7" s="16" t="inlineStr">
        <is>
          <t>PASSED (Within 18-Mo Hurdle)</t>
        </is>
      </c>
    </row>
    <row r="8">
      <c r="A8" s="7" t="inlineStr">
        <is>
          <t>Netherlands</t>
        </is>
      </c>
      <c r="B8" s="12" t="n">
        <v>213.68</v>
      </c>
      <c r="C8" s="13" t="n">
        <v>0.227</v>
      </c>
      <c r="D8" s="14" t="n">
        <v>390000</v>
      </c>
      <c r="E8" s="14" t="n">
        <v>20000</v>
      </c>
      <c r="F8" s="15" t="n">
        <v>94</v>
      </c>
      <c r="G8" s="7" t="inlineStr">
        <is>
          <t>Month 12</t>
        </is>
      </c>
      <c r="H8" s="16" t="inlineStr">
        <is>
          <t>PASSED (Lowest Risk / Fast Payback)</t>
        </is>
      </c>
    </row>
    <row r="9">
      <c r="A9" s="7" t="inlineStr">
        <is>
          <t>Australia</t>
        </is>
      </c>
      <c r="B9" s="12" t="n">
        <v>191</v>
      </c>
      <c r="C9" s="13" t="n">
        <v>0.187</v>
      </c>
      <c r="D9" s="14" t="n">
        <v>460000</v>
      </c>
      <c r="E9" s="14" t="n">
        <v>25000</v>
      </c>
      <c r="F9" s="15" t="n">
        <v>131</v>
      </c>
      <c r="G9" s="7" t="inlineStr">
        <is>
          <t>Month 15</t>
        </is>
      </c>
      <c r="H9" s="16" t="inlineStr">
        <is>
          <t>PASSED (Within 18-Mo Hurdle)</t>
        </is>
      </c>
    </row>
    <row r="10">
      <c r="A10" s="7" t="inlineStr">
        <is>
          <t>India</t>
        </is>
      </c>
      <c r="B10" s="12" t="n">
        <v>-253.6</v>
      </c>
      <c r="C10" s="13" t="n">
        <v>-0.373</v>
      </c>
      <c r="D10" s="14" t="n">
        <v>520000</v>
      </c>
      <c r="E10" s="14" t="n">
        <v>25000</v>
      </c>
      <c r="F10" s="17" t="inlineStr">
        <is>
          <t>N/A</t>
        </is>
      </c>
      <c r="G10" s="7" t="inlineStr">
        <is>
          <t>Not Achieved</t>
        </is>
      </c>
      <c r="H10" s="18" t="inlineStr">
        <is>
          <t>DISQUALIFIED (Negative Contribution)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9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NovaHome UK Market: Break-Even Month Sensitivity Matrix</t>
        </is>
      </c>
    </row>
    <row r="2">
      <c r="A2" s="2" t="inlineStr">
        <is>
          <t>Impact of Selling Price Variation (±10%) vs. CAC Fluctuation (±20%) on Break-Even Month</t>
        </is>
      </c>
    </row>
    <row r="3"/>
    <row r="4"/>
    <row r="5">
      <c r="A5" s="19" t="inlineStr">
        <is>
          <t>Selling Price (ASP) \ CAC</t>
        </is>
      </c>
      <c r="B5" s="20" t="inlineStr">
        <is>
          <t>CAC: $168</t>
        </is>
      </c>
      <c r="C5" s="20" t="inlineStr">
        <is>
          <t>CAC: $189</t>
        </is>
      </c>
      <c r="D5" s="20" t="inlineStr">
        <is>
          <t>CAC: $210</t>
        </is>
      </c>
      <c r="E5" s="20" t="inlineStr">
        <is>
          <t>CAC: $231</t>
        </is>
      </c>
      <c r="F5" s="20" t="inlineStr">
        <is>
          <t>CAC: $252</t>
        </is>
      </c>
    </row>
    <row r="6">
      <c r="A6" s="7" t="inlineStr">
        <is>
          <t>ASP: $819</t>
        </is>
      </c>
      <c r="B6" s="21" t="inlineStr">
        <is>
          <t>Month 15</t>
        </is>
      </c>
      <c r="C6" s="21" t="inlineStr">
        <is>
          <t>Month 16</t>
        </is>
      </c>
      <c r="D6" s="21" t="inlineStr">
        <is>
          <t>Month 17</t>
        </is>
      </c>
      <c r="E6" s="21" t="inlineStr">
        <is>
          <t>Month 18</t>
        </is>
      </c>
      <c r="F6" s="22" t="inlineStr">
        <is>
          <t>Month 20</t>
        </is>
      </c>
    </row>
    <row r="7">
      <c r="A7" s="7" t="inlineStr">
        <is>
          <t>ASP: $865</t>
        </is>
      </c>
      <c r="B7" s="23" t="inlineStr">
        <is>
          <t>Month 13</t>
        </is>
      </c>
      <c r="C7" s="23" t="inlineStr">
        <is>
          <t>Month 14</t>
        </is>
      </c>
      <c r="D7" s="21" t="inlineStr">
        <is>
          <t>Month 15</t>
        </is>
      </c>
      <c r="E7" s="21" t="inlineStr">
        <is>
          <t>Month 16</t>
        </is>
      </c>
      <c r="F7" s="21" t="inlineStr">
        <is>
          <t>Month 18</t>
        </is>
      </c>
    </row>
    <row r="8">
      <c r="A8" s="7" t="inlineStr">
        <is>
          <t>ASP: $910</t>
        </is>
      </c>
      <c r="B8" s="23" t="inlineStr">
        <is>
          <t>Month 12</t>
        </is>
      </c>
      <c r="C8" s="23" t="inlineStr">
        <is>
          <t>Month 13</t>
        </is>
      </c>
      <c r="D8" s="23" t="inlineStr">
        <is>
          <t>Month 14</t>
        </is>
      </c>
      <c r="E8" s="21" t="inlineStr">
        <is>
          <t>Month 15</t>
        </is>
      </c>
      <c r="F8" s="21" t="inlineStr">
        <is>
          <t>Month 16</t>
        </is>
      </c>
    </row>
    <row r="9">
      <c r="A9" s="7" t="inlineStr">
        <is>
          <t>ASP: $955</t>
        </is>
      </c>
      <c r="B9" s="23" t="inlineStr">
        <is>
          <t>Month 11</t>
        </is>
      </c>
      <c r="C9" s="23" t="inlineStr">
        <is>
          <t>Month 12</t>
        </is>
      </c>
      <c r="D9" s="23" t="inlineStr">
        <is>
          <t>Month 13</t>
        </is>
      </c>
      <c r="E9" s="23" t="inlineStr">
        <is>
          <t>Month 14</t>
        </is>
      </c>
      <c r="F9" s="21" t="inlineStr">
        <is>
          <t>Month 15</t>
        </is>
      </c>
    </row>
    <row r="10">
      <c r="A10" s="7" t="inlineStr">
        <is>
          <t>ASP: $1001</t>
        </is>
      </c>
      <c r="B10" s="23" t="inlineStr">
        <is>
          <t>Month 10</t>
        </is>
      </c>
      <c r="C10" s="23" t="inlineStr">
        <is>
          <t>Month 11</t>
        </is>
      </c>
      <c r="D10" s="23" t="inlineStr">
        <is>
          <t>Month 12</t>
        </is>
      </c>
      <c r="E10" s="23" t="inlineStr">
        <is>
          <t>Month 13</t>
        </is>
      </c>
      <c r="F10" s="23" t="inlineStr">
        <is>
          <t>Month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2026-09-11T14:44:56Z</dcterms:created>
  <dcterms:modified xsi:type="dcterms:W3CDTF">2026-09-11T14:44:56Z</dcterms:modified>
</cp:coreProperties>
</file>