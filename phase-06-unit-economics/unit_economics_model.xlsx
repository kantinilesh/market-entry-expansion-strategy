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Economics Waterf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167" fontId="0" fillId="4" borderId="1" pivotButton="0" quotePrefix="0" xfId="0"/>
    <xf numFmtId="166" fontId="0" fillId="4" borderId="1" pivotButton="0" quotePrefix="0" xfId="0"/>
    <xf numFmtId="165" fontId="3" fillId="6" borderId="1" pivotButton="0" quotePrefix="0" xfId="0"/>
    <xf numFmtId="166" fontId="3" fillId="6" borderId="1" pivotButton="0" quotePrefix="0" xfId="0"/>
    <xf numFmtId="3" fontId="0" fillId="6" borderId="1" pivotButton="0" quotePrefix="0" xfId="0"/>
    <xf numFmtId="164" fontId="0" fillId="6" borderId="1" pivotButton="0" quotePrefix="0" xfId="0"/>
    <xf numFmtId="167" fontId="0" fillId="6" borderId="1" pivotButton="0" quotePrefix="0" xfId="0"/>
    <xf numFmtId="166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20" customWidth="1" min="2" max="2"/>
    <col width="19" customWidth="1" min="3" max="3"/>
    <col width="29" customWidth="1" min="4" max="4"/>
    <col width="23" customWidth="1" min="5" max="5"/>
    <col width="31" customWidth="1" min="6" max="6"/>
    <col width="13" customWidth="1" min="7" max="7"/>
    <col width="28" customWidth="1" min="8" max="8"/>
    <col width="27" customWidth="1" min="9" max="9"/>
    <col width="28" customWidth="1" min="10" max="10"/>
    <col width="26" customWidth="1" min="11" max="11"/>
    <col width="25" customWidth="1" min="12" max="12"/>
    <col width="25" customWidth="1" min="13" max="13"/>
    <col width="41" customWidth="1" min="14" max="14"/>
    <col width="41" customWidth="1" min="15" max="15"/>
    <col width="74" customWidth="1" min="16" max="16"/>
    <col width="52" customWidth="1" min="17" max="17"/>
  </cols>
  <sheetData>
    <row r="1">
      <c r="A1" s="1" t="inlineStr">
        <is>
          <t>NovaHome International Expansion — Hardware Unit Economics Model</t>
        </is>
      </c>
    </row>
    <row r="2">
      <c r="A2" s="2" t="inlineStr">
        <is>
          <t>Delivered Contribution Margin Waterfall, Fixed Cost Absorption &amp; Capital Return | USD</t>
        </is>
      </c>
    </row>
    <row r="3"/>
    <row r="4">
      <c r="A4" s="3" t="inlineStr">
        <is>
          <t>Model Legend:</t>
        </is>
      </c>
      <c r="B4" s="4" t="inlineStr">
        <is>
          <t>Input / Benchmark</t>
        </is>
      </c>
      <c r="D4" s="5" t="inlineStr">
        <is>
          <t>Assumption Cell (Editable)</t>
        </is>
      </c>
      <c r="F4" s="6" t="inlineStr">
        <is>
          <t>Calculated Formula (Dynamic)</t>
        </is>
      </c>
    </row>
    <row r="5"/>
    <row r="6" ht="28" customHeight="1">
      <c r="A6" s="7" t="inlineStr">
        <is>
          <t>Country</t>
        </is>
      </c>
      <c r="B6" s="7" t="inlineStr">
        <is>
          <t>Selling Price ($)</t>
        </is>
      </c>
      <c r="C6" s="7" t="inlineStr">
        <is>
          <t>Product Cost ($)</t>
        </is>
      </c>
      <c r="D6" s="7" t="inlineStr">
        <is>
          <t>Shipping Cost ($)</t>
        </is>
      </c>
      <c r="E6" s="7" t="inlineStr">
        <is>
          <t>Duties &amp; Tariffs ($)</t>
        </is>
      </c>
      <c r="F6" s="7" t="inlineStr">
        <is>
          <t>Payment Fee (2.8%)</t>
        </is>
      </c>
      <c r="G6" s="7" t="inlineStr">
        <is>
          <t>CAC ($)</t>
        </is>
      </c>
      <c r="H6" s="7" t="inlineStr">
        <is>
          <t>Returns / Warranty (2.5%)</t>
        </is>
      </c>
      <c r="I6" s="7" t="inlineStr">
        <is>
          <t>Total Variable Cost ($)</t>
        </is>
      </c>
      <c r="J6" s="7" t="inlineStr">
        <is>
          <t>Contribution per Unit ($)</t>
        </is>
      </c>
      <c r="K6" s="7" t="inlineStr">
        <is>
          <t>Contribution Margin (%)</t>
        </is>
      </c>
      <c r="L6" s="7" t="inlineStr">
        <is>
          <t>Fixed Launch Costs ($)</t>
        </is>
      </c>
      <c r="M6" s="7" t="inlineStr">
        <is>
          <t>Monthly Fixed Opex ($)</t>
        </is>
      </c>
      <c r="N6" s="7" t="inlineStr">
        <is>
          <t>Break-Even Units</t>
        </is>
      </c>
      <c r="O6" s="7" t="inlineStr">
        <is>
          <t>Break-Even Revenue ($)</t>
        </is>
      </c>
      <c r="P6" s="7" t="inlineStr">
        <is>
          <t>Payback Period (Mo)</t>
        </is>
      </c>
      <c r="Q6" s="7" t="inlineStr">
        <is>
          <t>3-Yr ROI (%)</t>
        </is>
      </c>
    </row>
    <row r="7">
      <c r="A7" s="8" t="inlineStr">
        <is>
          <t>United States (Bench)</t>
        </is>
      </c>
      <c r="B7" s="9" t="n">
        <v>950</v>
      </c>
      <c r="C7" s="10" t="n">
        <v>450</v>
      </c>
      <c r="D7" s="9" t="n">
        <v>115</v>
      </c>
      <c r="E7" s="11">
        <f>B7*0.0</f>
        <v/>
      </c>
      <c r="F7" s="11">
        <f>B7*0.028</f>
        <v/>
      </c>
      <c r="G7" s="10" t="n">
        <v>215</v>
      </c>
      <c r="H7" s="11">
        <f>B7*0.025</f>
        <v/>
      </c>
      <c r="I7" s="11">
        <f>C7+D7+E7+F7+G7+H7</f>
        <v/>
      </c>
      <c r="J7" s="12">
        <f>B7-I7</f>
        <v/>
      </c>
      <c r="K7" s="13">
        <f>J7/B7</f>
        <v/>
      </c>
      <c r="L7" s="10" t="n">
        <v>350000</v>
      </c>
      <c r="M7" s="10" t="n">
        <v>25000</v>
      </c>
      <c r="N7" s="14">
        <f>IF(J7&gt;0, L7/J7, "N/A - Insolvent")</f>
        <v/>
      </c>
      <c r="O7" s="15">
        <f>IF(J7&gt;0, N7*B7, "N/A - Insolvent")</f>
        <v/>
      </c>
      <c r="P7" s="16">
        <f>IF(AND(J7&gt;0, (J7*250 - M7)&gt;0), L7/(J7*250 - M7), "Not Achieved")</f>
        <v/>
      </c>
      <c r="Q7" s="17">
        <f>IF(J7&gt;0, ((J7*6500 - M7*36) - L7)/L7, -1.0)</f>
        <v/>
      </c>
    </row>
    <row r="8">
      <c r="A8" s="8" t="inlineStr">
        <is>
          <t>Canada (Bench)</t>
        </is>
      </c>
      <c r="B8" s="9" t="n">
        <v>920</v>
      </c>
      <c r="C8" s="10" t="n">
        <v>450</v>
      </c>
      <c r="D8" s="9" t="n">
        <v>140</v>
      </c>
      <c r="E8" s="11">
        <f>B8*0.0</f>
        <v/>
      </c>
      <c r="F8" s="11">
        <f>B8*0.028</f>
        <v/>
      </c>
      <c r="G8" s="10" t="n">
        <v>195</v>
      </c>
      <c r="H8" s="11">
        <f>B8*0.025</f>
        <v/>
      </c>
      <c r="I8" s="11">
        <f>C8+D8+E8+F8+G8+H8</f>
        <v/>
      </c>
      <c r="J8" s="12">
        <f>B8-I8</f>
        <v/>
      </c>
      <c r="K8" s="13">
        <f>J8/B8</f>
        <v/>
      </c>
      <c r="L8" s="10" t="n">
        <v>380000</v>
      </c>
      <c r="M8" s="10" t="n">
        <v>22000</v>
      </c>
      <c r="N8" s="14">
        <f>IF(J8&gt;0, L8/J8, "N/A - Insolvent")</f>
        <v/>
      </c>
      <c r="O8" s="15">
        <f>IF(J8&gt;0, N8*B8, "N/A - Insolvent")</f>
        <v/>
      </c>
      <c r="P8" s="16">
        <f>IF(AND(J8&gt;0, (J8*250 - M8)&gt;0), L8/(J8*250 - M8), "Not Achieved")</f>
        <v/>
      </c>
      <c r="Q8" s="17">
        <f>IF(J8&gt;0, ((J8*6500 - M8*36) - L8)/L8, -1.0)</f>
        <v/>
      </c>
    </row>
    <row r="9">
      <c r="A9" s="8" t="inlineStr">
        <is>
          <t>United Kingdom</t>
        </is>
      </c>
      <c r="B9" s="9" t="n">
        <v>910</v>
      </c>
      <c r="C9" s="10" t="n">
        <v>450</v>
      </c>
      <c r="D9" s="9" t="n">
        <v>165</v>
      </c>
      <c r="E9" s="11">
        <f>B9*0.027</f>
        <v/>
      </c>
      <c r="F9" s="11">
        <f>B9*0.028</f>
        <v/>
      </c>
      <c r="G9" s="10" t="n">
        <v>210</v>
      </c>
      <c r="H9" s="11">
        <f>B9*0.025</f>
        <v/>
      </c>
      <c r="I9" s="11">
        <f>C9+D9+E9+F9+G9+H9</f>
        <v/>
      </c>
      <c r="J9" s="12">
        <f>B9-I9</f>
        <v/>
      </c>
      <c r="K9" s="13">
        <f>J9/B9</f>
        <v/>
      </c>
      <c r="L9" s="10" t="n">
        <v>420000</v>
      </c>
      <c r="M9" s="10" t="n">
        <v>26000</v>
      </c>
      <c r="N9" s="14">
        <f>IF(J9&gt;0, L9/J9, "N/A - Insolvent")</f>
        <v/>
      </c>
      <c r="O9" s="15">
        <f>IF(J9&gt;0, N9*B9, "N/A - Insolvent")</f>
        <v/>
      </c>
      <c r="P9" s="16">
        <f>IF(AND(J9&gt;0, (J9*250 - M9)&gt;0), L9/(J9*250 - M9), "Not Achieved")</f>
        <v/>
      </c>
      <c r="Q9" s="17">
        <f>IF(J9&gt;0, ((J9*6500 - M9*36) - L9)/L9, -1.0)</f>
        <v/>
      </c>
    </row>
    <row r="10">
      <c r="A10" s="8" t="inlineStr">
        <is>
          <t>Germany</t>
        </is>
      </c>
      <c r="B10" s="9" t="n">
        <v>960</v>
      </c>
      <c r="C10" s="10" t="n">
        <v>450</v>
      </c>
      <c r="D10" s="9" t="n">
        <v>155</v>
      </c>
      <c r="E10" s="11">
        <f>B10*0.027</f>
        <v/>
      </c>
      <c r="F10" s="11">
        <f>B10*0.028</f>
        <v/>
      </c>
      <c r="G10" s="10" t="n">
        <v>190</v>
      </c>
      <c r="H10" s="11">
        <f>B10*0.025</f>
        <v/>
      </c>
      <c r="I10" s="11">
        <f>C10+D10+E10+F10+G10+H10</f>
        <v/>
      </c>
      <c r="J10" s="12">
        <f>B10-I10</f>
        <v/>
      </c>
      <c r="K10" s="13">
        <f>J10/B10</f>
        <v/>
      </c>
      <c r="L10" s="10" t="n">
        <v>680000</v>
      </c>
      <c r="M10" s="10" t="n">
        <v>28000</v>
      </c>
      <c r="N10" s="14">
        <f>IF(J10&gt;0, L10/J10, "N/A - Insolvent")</f>
        <v/>
      </c>
      <c r="O10" s="15">
        <f>IF(J10&gt;0, N10*B10, "N/A - Insolvent")</f>
        <v/>
      </c>
      <c r="P10" s="16">
        <f>IF(AND(J10&gt;0, (J10*250 - M10)&gt;0), L10/(J10*250 - M10), "Not Achieved")</f>
        <v/>
      </c>
      <c r="Q10" s="17">
        <f>IF(J10&gt;0, ((J10*6500 - M10*36) - L10)/L10, -1.0)</f>
        <v/>
      </c>
    </row>
    <row r="11">
      <c r="A11" s="8" t="inlineStr">
        <is>
          <t>Netherlands</t>
        </is>
      </c>
      <c r="B11" s="9" t="n">
        <v>940</v>
      </c>
      <c r="C11" s="10" t="n">
        <v>450</v>
      </c>
      <c r="D11" s="9" t="n">
        <v>125</v>
      </c>
      <c r="E11" s="11">
        <f>B11*0.027</f>
        <v/>
      </c>
      <c r="F11" s="11">
        <f>B11*0.028</f>
        <v/>
      </c>
      <c r="G11" s="10" t="n">
        <v>170</v>
      </c>
      <c r="H11" s="11">
        <f>B11*0.025</f>
        <v/>
      </c>
      <c r="I11" s="11">
        <f>C11+D11+E11+F11+G11+H11</f>
        <v/>
      </c>
      <c r="J11" s="12">
        <f>B11-I11</f>
        <v/>
      </c>
      <c r="K11" s="13">
        <f>J11/B11</f>
        <v/>
      </c>
      <c r="L11" s="10" t="n">
        <v>390000</v>
      </c>
      <c r="M11" s="10" t="n">
        <v>20000</v>
      </c>
      <c r="N11" s="14">
        <f>IF(J11&gt;0, L11/J11, "N/A - Insolvent")</f>
        <v/>
      </c>
      <c r="O11" s="15">
        <f>IF(J11&gt;0, N11*B11, "N/A - Insolvent")</f>
        <v/>
      </c>
      <c r="P11" s="16">
        <f>IF(AND(J11&gt;0, (J11*250 - M11)&gt;0), L11/(J11*250 - M11), "Not Achieved")</f>
        <v/>
      </c>
      <c r="Q11" s="17">
        <f>IF(J11&gt;0, ((J11*6500 - M11*36) - L11)/L11, -1.0)</f>
        <v/>
      </c>
    </row>
    <row r="12">
      <c r="A12" s="8" t="inlineStr">
        <is>
          <t>Australia</t>
        </is>
      </c>
      <c r="B12" s="9" t="n">
        <v>1020</v>
      </c>
      <c r="C12" s="10" t="n">
        <v>450</v>
      </c>
      <c r="D12" s="9" t="n">
        <v>195</v>
      </c>
      <c r="E12" s="11">
        <f>B12*0.05</f>
        <v/>
      </c>
      <c r="F12" s="11">
        <f>B12*0.028</f>
        <v/>
      </c>
      <c r="G12" s="10" t="n">
        <v>205</v>
      </c>
      <c r="H12" s="11">
        <f>B12*0.025</f>
        <v/>
      </c>
      <c r="I12" s="11">
        <f>C12+D12+E12+F12+G12+H12</f>
        <v/>
      </c>
      <c r="J12" s="12">
        <f>B12-I12</f>
        <v/>
      </c>
      <c r="K12" s="13">
        <f>J12/B12</f>
        <v/>
      </c>
      <c r="L12" s="10" t="n">
        <v>460000</v>
      </c>
      <c r="M12" s="10" t="n">
        <v>25000</v>
      </c>
      <c r="N12" s="14">
        <f>IF(J12&gt;0, L12/J12, "N/A - Insolvent")</f>
        <v/>
      </c>
      <c r="O12" s="15">
        <f>IF(J12&gt;0, N12*B12, "N/A - Insolvent")</f>
        <v/>
      </c>
      <c r="P12" s="16">
        <f>IF(AND(J12&gt;0, (J12*250 - M12)&gt;0), L12/(J12*250 - M12), "Not Achieved")</f>
        <v/>
      </c>
      <c r="Q12" s="17">
        <f>IF(J12&gt;0, ((J12*6500 - M12*36) - L12)/L12, -1.0)</f>
        <v/>
      </c>
    </row>
    <row r="13">
      <c r="A13" s="8" t="inlineStr">
        <is>
          <t>Singapore</t>
        </is>
      </c>
      <c r="B13" s="9" t="n">
        <v>1050</v>
      </c>
      <c r="C13" s="10" t="n">
        <v>450</v>
      </c>
      <c r="D13" s="9" t="n">
        <v>110</v>
      </c>
      <c r="E13" s="11">
        <f>B13*0.0</f>
        <v/>
      </c>
      <c r="F13" s="11">
        <f>B13*0.028</f>
        <v/>
      </c>
      <c r="G13" s="10" t="n">
        <v>185</v>
      </c>
      <c r="H13" s="11">
        <f>B13*0.025</f>
        <v/>
      </c>
      <c r="I13" s="11">
        <f>C13+D13+E13+F13+G13+H13</f>
        <v/>
      </c>
      <c r="J13" s="12">
        <f>B13-I13</f>
        <v/>
      </c>
      <c r="K13" s="13">
        <f>J13/B13</f>
        <v/>
      </c>
      <c r="L13" s="10" t="n">
        <v>380000</v>
      </c>
      <c r="M13" s="10" t="n">
        <v>18000</v>
      </c>
      <c r="N13" s="14">
        <f>IF(J13&gt;0, L13/J13, "N/A - Insolvent")</f>
        <v/>
      </c>
      <c r="O13" s="15">
        <f>IF(J13&gt;0, N13*B13, "N/A - Insolvent")</f>
        <v/>
      </c>
      <c r="P13" s="16">
        <f>IF(AND(J13&gt;0, (J13*250 - M13)&gt;0), L13/(J13*250 - M13), "Not Achieved")</f>
        <v/>
      </c>
      <c r="Q13" s="17">
        <f>IF(J13&gt;0, ((J13*6500 - M13*36) - L13)/L13, -1.0)</f>
        <v/>
      </c>
    </row>
    <row r="14">
      <c r="A14" s="8" t="inlineStr">
        <is>
          <t>United Arab Emirates</t>
        </is>
      </c>
      <c r="B14" s="9" t="n">
        <v>1100</v>
      </c>
      <c r="C14" s="10" t="n">
        <v>450</v>
      </c>
      <c r="D14" s="9" t="n">
        <v>175</v>
      </c>
      <c r="E14" s="11">
        <f>B14*0.05</f>
        <v/>
      </c>
      <c r="F14" s="11">
        <f>B14*0.028</f>
        <v/>
      </c>
      <c r="G14" s="10" t="n">
        <v>220</v>
      </c>
      <c r="H14" s="11">
        <f>B14*0.025</f>
        <v/>
      </c>
      <c r="I14" s="11">
        <f>C14+D14+E14+F14+G14+H14</f>
        <v/>
      </c>
      <c r="J14" s="12">
        <f>B14-I14</f>
        <v/>
      </c>
      <c r="K14" s="13">
        <f>J14/B14</f>
        <v/>
      </c>
      <c r="L14" s="10" t="n">
        <v>450000</v>
      </c>
      <c r="M14" s="10" t="n">
        <v>24000</v>
      </c>
      <c r="N14" s="14">
        <f>IF(J14&gt;0, L14/J14, "N/A - Insolvent")</f>
        <v/>
      </c>
      <c r="O14" s="15">
        <f>IF(J14&gt;0, N14*B14, "N/A - Insolvent")</f>
        <v/>
      </c>
      <c r="P14" s="16">
        <f>IF(AND(J14&gt;0, (J14*250 - M14)&gt;0), L14/(J14*250 - M14), "Not Achieved")</f>
        <v/>
      </c>
      <c r="Q14" s="17">
        <f>IF(J14&gt;0, ((J14*6500 - M14*36) - L14)/L14, -1.0)</f>
        <v/>
      </c>
    </row>
    <row r="15">
      <c r="A15" s="8" t="inlineStr">
        <is>
          <t>Saudi Arabia</t>
        </is>
      </c>
      <c r="B15" s="9" t="n">
        <v>1080</v>
      </c>
      <c r="C15" s="10" t="n">
        <v>450</v>
      </c>
      <c r="D15" s="9" t="n">
        <v>210</v>
      </c>
      <c r="E15" s="11">
        <f>B15*0.1</f>
        <v/>
      </c>
      <c r="F15" s="11">
        <f>B15*0.028</f>
        <v/>
      </c>
      <c r="G15" s="10" t="n">
        <v>240</v>
      </c>
      <c r="H15" s="11">
        <f>B15*0.025</f>
        <v/>
      </c>
      <c r="I15" s="11">
        <f>C15+D15+E15+F15+G15+H15</f>
        <v/>
      </c>
      <c r="J15" s="12">
        <f>B15-I15</f>
        <v/>
      </c>
      <c r="K15" s="13">
        <f>J15/B15</f>
        <v/>
      </c>
      <c r="L15" s="10" t="n">
        <v>720000</v>
      </c>
      <c r="M15" s="10" t="n">
        <v>30000</v>
      </c>
      <c r="N15" s="14">
        <f>IF(J15&gt;0, L15/J15, "N/A - Insolvent")</f>
        <v/>
      </c>
      <c r="O15" s="15">
        <f>IF(J15&gt;0, N15*B15, "N/A - Insolvent")</f>
        <v/>
      </c>
      <c r="P15" s="16">
        <f>IF(AND(J15&gt;0, (J15*250 - M15)&gt;0), L15/(J15*250 - M15), "Not Achieved")</f>
        <v/>
      </c>
      <c r="Q15" s="17">
        <f>IF(J15&gt;0, ((J15*6500 - M15*36) - L15)/L15, -1.0)</f>
        <v/>
      </c>
    </row>
    <row r="16">
      <c r="A16" s="8" t="inlineStr">
        <is>
          <t>India</t>
        </is>
      </c>
      <c r="B16" s="9" t="n">
        <v>680</v>
      </c>
      <c r="C16" s="10" t="n">
        <v>450</v>
      </c>
      <c r="D16" s="9" t="n">
        <v>280</v>
      </c>
      <c r="E16" s="11">
        <f>B16*0.32</f>
        <v/>
      </c>
      <c r="F16" s="11">
        <f>B16*0.028</f>
        <v/>
      </c>
      <c r="G16" s="10" t="n">
        <v>140</v>
      </c>
      <c r="H16" s="11">
        <f>B16*0.025</f>
        <v/>
      </c>
      <c r="I16" s="11">
        <f>C16+D16+E16+F16+G16+H16</f>
        <v/>
      </c>
      <c r="J16" s="18">
        <f>B16-I16</f>
        <v/>
      </c>
      <c r="K16" s="19">
        <f>J16/B16</f>
        <v/>
      </c>
      <c r="L16" s="10" t="n">
        <v>520000</v>
      </c>
      <c r="M16" s="10" t="n">
        <v>25000</v>
      </c>
      <c r="N16" s="20">
        <f>IF(J16&gt;0, L16/J16, "N/A - Insolvent")</f>
        <v/>
      </c>
      <c r="O16" s="21">
        <f>IF(J16&gt;0, N16*B16, "N/A - Insolvent")</f>
        <v/>
      </c>
      <c r="P16" s="22">
        <f>IF(AND(J16&gt;0, (J16*250 - M16)&gt;0), L16/(J16*250 - M16), "Not Achieved")</f>
        <v/>
      </c>
      <c r="Q16" s="23">
        <f>IF(J16&gt;0, ((J16*6500 - M16*36) - L16)/L16, -1.0)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2026-09-11T14:44:56Z</dcterms:created>
  <dcterms:modified xsi:type="dcterms:W3CDTF">2026-09-11T14:44:56Z</dcterms:modified>
</cp:coreProperties>
</file>