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 SAM SOM Sizing" sheetId="1" state="visible" r:id="rId1"/>
    <sheet name="Attractiveness Scoring" sheetId="2" state="visible" r:id="rId2"/>
    <sheet name="SOM Sensitivity" sheetId="3" state="visible" r:id="rId3"/>
    <sheet name="Assumptions &amp;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$#,##0"/>
    <numFmt numFmtId="167" formatCode="$#,##0.0"/>
    <numFmt numFmtId="168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5" fontId="0" fillId="3" borderId="1" pivotButton="0" quotePrefix="0" xfId="0"/>
    <xf numFmtId="167" fontId="0" fillId="4" borderId="1" pivotButton="0" quotePrefix="0" xfId="0"/>
    <xf numFmtId="168" fontId="0" fillId="3" borderId="1" pivotButton="0" quotePrefix="0" xfId="0"/>
    <xf numFmtId="164" fontId="0" fillId="4" borderId="1" pivotButton="0" quotePrefix="0" xfId="0"/>
    <xf numFmtId="3" fontId="0" fillId="4" borderId="1" pivotButton="0" quotePrefix="0" xfId="0"/>
    <xf numFmtId="0" fontId="3" fillId="0" borderId="2" pivotButton="0" quotePrefix="0" xfId="0"/>
    <xf numFmtId="167" fontId="3" fillId="0" borderId="2" pivotButton="0" quotePrefix="0" xfId="0"/>
    <xf numFmtId="9" fontId="3" fillId="3" borderId="0" pivotButton="0" quotePrefix="0" xfId="0"/>
    <xf numFmtId="0" fontId="4" fillId="6" borderId="0" applyAlignment="1" pivotButton="0" quotePrefix="0" xfId="0">
      <alignment horizontal="center" vertical="center" wrapText="1"/>
    </xf>
    <xf numFmtId="2" fontId="0" fillId="0" borderId="1" pivotButton="0" quotePrefix="0" xfId="0"/>
    <xf numFmtId="2" fontId="3" fillId="4" borderId="1" pivotButton="0" quotePrefix="0" xfId="0"/>
    <xf numFmtId="0" fontId="4" fillId="6" borderId="0" pivotButton="0" quotePrefix="0" xfId="0"/>
    <xf numFmtId="0" fontId="4" fillId="5" borderId="0" applyAlignment="1" pivotButton="0" quotePrefix="0" xfId="0">
      <alignment horizontal="center"/>
    </xf>
    <xf numFmtId="0" fontId="5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25" customWidth="1" min="2" max="2"/>
    <col width="21" customWidth="1" min="3" max="3"/>
    <col width="29" customWidth="1" min="4" max="4"/>
    <col width="12" customWidth="1" min="5" max="5"/>
    <col width="31" customWidth="1" min="6" max="6"/>
    <col width="23" customWidth="1" min="7" max="7"/>
    <col width="20" customWidth="1" min="8" max="8"/>
    <col width="21" customWidth="1" min="9" max="9"/>
    <col width="20" customWidth="1" min="10" max="10"/>
    <col width="16" customWidth="1" min="11" max="11"/>
    <col width="15" customWidth="1" min="12" max="12"/>
    <col width="20" customWidth="1" min="13" max="13"/>
    <col width="20" customWidth="1" min="14" max="14"/>
    <col width="24" customWidth="1" min="15" max="15"/>
    <col width="26" customWidth="1" min="16" max="16"/>
    <col width="21" customWidth="1" min="17" max="17"/>
  </cols>
  <sheetData>
    <row r="1">
      <c r="A1" s="1" t="inlineStr">
        <is>
          <t>NovaHome International Expansion — TAM / SAM / SOM Market Sizing Model</t>
        </is>
      </c>
    </row>
    <row r="2">
      <c r="A2" s="2" t="inlineStr">
        <is>
          <t>Dynamic Top-Down &amp; Bottom-Up Multi-Market Sizing (2026–2029) | Denominated in USD Millions</t>
        </is>
      </c>
    </row>
    <row r="3"/>
    <row r="4">
      <c r="A4" s="3" t="inlineStr">
        <is>
          <t>Model Legend:</t>
        </is>
      </c>
      <c r="B4" s="4" t="inlineStr">
        <is>
          <t>Input / Benchmark Data</t>
        </is>
      </c>
      <c r="D4" s="5" t="inlineStr">
        <is>
          <t>Assumption Cell (Editable)</t>
        </is>
      </c>
      <c r="F4" s="6" t="inlineStr">
        <is>
          <t>Calculated Formula (Dynamic)</t>
        </is>
      </c>
    </row>
    <row r="5"/>
    <row r="6" ht="28" customHeight="1">
      <c r="A6" s="7" t="inlineStr">
        <is>
          <t>Country</t>
        </is>
      </c>
      <c r="B6" s="7" t="inlineStr">
        <is>
          <t>Population (M)</t>
        </is>
      </c>
      <c r="C6" s="7" t="inlineStr">
        <is>
          <t>Urban %</t>
        </is>
      </c>
      <c r="D6" s="7" t="inlineStr">
        <is>
          <t>Disp. Income ($)</t>
        </is>
      </c>
      <c r="E6" s="7" t="inlineStr">
        <is>
          <t>Fitness %</t>
        </is>
      </c>
      <c r="F6" s="7" t="inlineStr">
        <is>
          <t>Total Fitness TAM ($M)</t>
        </is>
      </c>
      <c r="G6" s="7" t="inlineStr">
        <is>
          <t>Mid-Market Segment %</t>
        </is>
      </c>
      <c r="H6" s="7" t="inlineStr">
        <is>
          <t>Top-Down SAM ($M)</t>
        </is>
      </c>
      <c r="I6" s="7" t="inlineStr">
        <is>
          <t>Achievable Share %</t>
        </is>
      </c>
      <c r="J6" s="7" t="inlineStr">
        <is>
          <t>Top-Down SOM ($M)</t>
        </is>
      </c>
      <c r="K6" s="7" t="inlineStr">
        <is>
          <t>HH Size (Est)</t>
        </is>
      </c>
      <c r="L6" s="7" t="inlineStr">
        <is>
          <t>Total HH (M)</t>
        </is>
      </c>
      <c r="M6" s="7" t="inlineStr">
        <is>
          <t>Qualifying HH (k)</t>
        </is>
      </c>
      <c r="N6" s="7" t="inlineStr">
        <is>
          <t>Annual Buy Rate %</t>
        </is>
      </c>
      <c r="O6" s="7" t="inlineStr">
        <is>
          <t>Annual Category Units</t>
        </is>
      </c>
      <c r="P6" s="7" t="inlineStr">
        <is>
          <t>Bottom-Up SAM ($M)</t>
        </is>
      </c>
      <c r="Q6" s="7" t="inlineStr">
        <is>
          <t>Bottom-Up SOM ($M)</t>
        </is>
      </c>
    </row>
    <row r="7">
      <c r="A7" s="8" t="inlineStr">
        <is>
          <t>United States</t>
        </is>
      </c>
      <c r="B7" s="9" t="n">
        <v>336.5</v>
      </c>
      <c r="C7" s="10" t="n">
        <v>0.8320000000000001</v>
      </c>
      <c r="D7" s="11" t="n">
        <v>54800</v>
      </c>
      <c r="E7" s="10" t="n">
        <v>0.385</v>
      </c>
      <c r="F7" s="12" t="n">
        <v>4200</v>
      </c>
      <c r="G7" s="13" t="n">
        <v>0.4</v>
      </c>
      <c r="H7" s="14">
        <f>F7*G7</f>
        <v/>
      </c>
      <c r="I7" s="13" t="n">
        <v>0.08</v>
      </c>
      <c r="J7" s="14">
        <f>H7*I7</f>
        <v/>
      </c>
      <c r="K7" s="15" t="n">
        <v>2.5</v>
      </c>
      <c r="L7" s="16">
        <f>B7/K7</f>
        <v/>
      </c>
      <c r="M7" s="17">
        <f>L7*C7*E7*1000</f>
        <v/>
      </c>
      <c r="N7" s="13" t="n">
        <v>0.1</v>
      </c>
      <c r="O7" s="17">
        <f>M7*N7*10</f>
        <v/>
      </c>
      <c r="P7" s="14">
        <f>(O7*950*0.40)/1000000</f>
        <v/>
      </c>
      <c r="Q7" s="14">
        <f>P7*I7</f>
        <v/>
      </c>
    </row>
    <row r="8">
      <c r="A8" s="8" t="inlineStr">
        <is>
          <t>Canada</t>
        </is>
      </c>
      <c r="B8" s="9" t="n">
        <v>40.5</v>
      </c>
      <c r="C8" s="10" t="n">
        <v>0.8179999999999999</v>
      </c>
      <c r="D8" s="11" t="n">
        <v>42600</v>
      </c>
      <c r="E8" s="10" t="n">
        <v>0.34</v>
      </c>
      <c r="F8" s="12" t="n">
        <v>410</v>
      </c>
      <c r="G8" s="13" t="n">
        <v>0.4</v>
      </c>
      <c r="H8" s="14">
        <f>F8*G8</f>
        <v/>
      </c>
      <c r="I8" s="13" t="n">
        <v>0.05</v>
      </c>
      <c r="J8" s="14">
        <f>H8*I8</f>
        <v/>
      </c>
      <c r="K8" s="15" t="n">
        <v>2.5</v>
      </c>
      <c r="L8" s="16">
        <f>B8/K8</f>
        <v/>
      </c>
      <c r="M8" s="17">
        <f>L8*C8*E8*1000</f>
        <v/>
      </c>
      <c r="N8" s="13" t="n">
        <v>0.1</v>
      </c>
      <c r="O8" s="17">
        <f>M8*N8*10</f>
        <v/>
      </c>
      <c r="P8" s="14">
        <f>(O8*950*0.40)/1000000</f>
        <v/>
      </c>
      <c r="Q8" s="14">
        <f>P8*I8</f>
        <v/>
      </c>
    </row>
    <row r="9">
      <c r="A9" s="8" t="inlineStr">
        <is>
          <t>United Kingdom</t>
        </is>
      </c>
      <c r="B9" s="9" t="n">
        <v>68.2</v>
      </c>
      <c r="C9" s="10" t="n">
        <v>0.845</v>
      </c>
      <c r="D9" s="11" t="n">
        <v>38400</v>
      </c>
      <c r="E9" s="10" t="n">
        <v>0.315</v>
      </c>
      <c r="F9" s="12" t="n">
        <v>650</v>
      </c>
      <c r="G9" s="13" t="n">
        <v>0.4</v>
      </c>
      <c r="H9" s="14">
        <f>F9*G9</f>
        <v/>
      </c>
      <c r="I9" s="13" t="n">
        <v>0.03</v>
      </c>
      <c r="J9" s="14">
        <f>H9*I9</f>
        <v/>
      </c>
      <c r="K9" s="15" t="n">
        <v>2.5</v>
      </c>
      <c r="L9" s="16">
        <f>B9/K9</f>
        <v/>
      </c>
      <c r="M9" s="17">
        <f>L9*C9*E9*1000</f>
        <v/>
      </c>
      <c r="N9" s="13" t="n">
        <v>0.1</v>
      </c>
      <c r="O9" s="17">
        <f>M9*N9*10</f>
        <v/>
      </c>
      <c r="P9" s="14">
        <f>(O9*950*0.40)/1000000</f>
        <v/>
      </c>
      <c r="Q9" s="14">
        <f>P9*I9</f>
        <v/>
      </c>
    </row>
    <row r="10">
      <c r="A10" s="8" t="inlineStr">
        <is>
          <t>Germany</t>
        </is>
      </c>
      <c r="B10" s="9" t="n">
        <v>84.40000000000001</v>
      </c>
      <c r="C10" s="10" t="n">
        <v>0.778</v>
      </c>
      <c r="D10" s="11" t="n">
        <v>41200</v>
      </c>
      <c r="E10" s="10" t="n">
        <v>0.29</v>
      </c>
      <c r="F10" s="12" t="n">
        <v>780</v>
      </c>
      <c r="G10" s="13" t="n">
        <v>0.4</v>
      </c>
      <c r="H10" s="14">
        <f>F10*G10</f>
        <v/>
      </c>
      <c r="I10" s="13" t="n">
        <v>0.03</v>
      </c>
      <c r="J10" s="14">
        <f>H10*I10</f>
        <v/>
      </c>
      <c r="K10" s="15" t="n">
        <v>2.5</v>
      </c>
      <c r="L10" s="16">
        <f>B10/K10</f>
        <v/>
      </c>
      <c r="M10" s="17">
        <f>L10*C10*E10*1000</f>
        <v/>
      </c>
      <c r="N10" s="13" t="n">
        <v>0.1</v>
      </c>
      <c r="O10" s="17">
        <f>M10*N10*10</f>
        <v/>
      </c>
      <c r="P10" s="14">
        <f>(O10*950*0.40)/1000000</f>
        <v/>
      </c>
      <c r="Q10" s="14">
        <f>P10*I10</f>
        <v/>
      </c>
    </row>
    <row r="11">
      <c r="A11" s="8" t="inlineStr">
        <is>
          <t>Netherlands</t>
        </is>
      </c>
      <c r="B11" s="9" t="n">
        <v>18</v>
      </c>
      <c r="C11" s="10" t="n">
        <v>0.9279999999999999</v>
      </c>
      <c r="D11" s="11" t="n">
        <v>43500</v>
      </c>
      <c r="E11" s="10" t="n">
        <v>0.36</v>
      </c>
      <c r="F11" s="12" t="n">
        <v>160</v>
      </c>
      <c r="G11" s="13" t="n">
        <v>0.4</v>
      </c>
      <c r="H11" s="14">
        <f>F11*G11</f>
        <v/>
      </c>
      <c r="I11" s="13" t="n">
        <v>0.03</v>
      </c>
      <c r="J11" s="14">
        <f>H11*I11</f>
        <v/>
      </c>
      <c r="K11" s="15" t="n">
        <v>2.5</v>
      </c>
      <c r="L11" s="16">
        <f>B11/K11</f>
        <v/>
      </c>
      <c r="M11" s="17">
        <f>L11*C11*E11*1000</f>
        <v/>
      </c>
      <c r="N11" s="13" t="n">
        <v>0.1</v>
      </c>
      <c r="O11" s="17">
        <f>M11*N11*10</f>
        <v/>
      </c>
      <c r="P11" s="14">
        <f>(O11*950*0.40)/1000000</f>
        <v/>
      </c>
      <c r="Q11" s="14">
        <f>P11*I11</f>
        <v/>
      </c>
    </row>
    <row r="12">
      <c r="A12" s="8" t="inlineStr">
        <is>
          <t>Australia</t>
        </is>
      </c>
      <c r="B12" s="9" t="n">
        <v>26.8</v>
      </c>
      <c r="C12" s="10" t="n">
        <v>0.866</v>
      </c>
      <c r="D12" s="11" t="n">
        <v>44100</v>
      </c>
      <c r="E12" s="10" t="n">
        <v>0.41</v>
      </c>
      <c r="F12" s="12" t="n">
        <v>280</v>
      </c>
      <c r="G12" s="13" t="n">
        <v>0.4</v>
      </c>
      <c r="H12" s="14">
        <f>F12*G12</f>
        <v/>
      </c>
      <c r="I12" s="13" t="n">
        <v>0.03</v>
      </c>
      <c r="J12" s="14">
        <f>H12*I12</f>
        <v/>
      </c>
      <c r="K12" s="15" t="n">
        <v>2.5</v>
      </c>
      <c r="L12" s="16">
        <f>B12/K12</f>
        <v/>
      </c>
      <c r="M12" s="17">
        <f>L12*C12*E12*1000</f>
        <v/>
      </c>
      <c r="N12" s="13" t="n">
        <v>0.1</v>
      </c>
      <c r="O12" s="17">
        <f>M12*N12*10</f>
        <v/>
      </c>
      <c r="P12" s="14">
        <f>(O12*950*0.40)/1000000</f>
        <v/>
      </c>
      <c r="Q12" s="14">
        <f>P12*I12</f>
        <v/>
      </c>
    </row>
    <row r="13">
      <c r="A13" s="8" t="inlineStr">
        <is>
          <t>Singapore</t>
        </is>
      </c>
      <c r="B13" s="9" t="n">
        <v>6</v>
      </c>
      <c r="C13" s="10" t="n">
        <v>1</v>
      </c>
      <c r="D13" s="11" t="n">
        <v>42800</v>
      </c>
      <c r="E13" s="10" t="n">
        <v>0.32</v>
      </c>
      <c r="F13" s="12" t="n">
        <v>65</v>
      </c>
      <c r="G13" s="13" t="n">
        <v>0.4</v>
      </c>
      <c r="H13" s="14">
        <f>F13*G13</f>
        <v/>
      </c>
      <c r="I13" s="13" t="n">
        <v>0.03</v>
      </c>
      <c r="J13" s="14">
        <f>H13*I13</f>
        <v/>
      </c>
      <c r="K13" s="15" t="n">
        <v>2.5</v>
      </c>
      <c r="L13" s="16">
        <f>B13/K13</f>
        <v/>
      </c>
      <c r="M13" s="17">
        <f>L13*C13*E13*1000</f>
        <v/>
      </c>
      <c r="N13" s="13" t="n">
        <v>0.1</v>
      </c>
      <c r="O13" s="17">
        <f>M13*N13*10</f>
        <v/>
      </c>
      <c r="P13" s="14">
        <f>(O13*950*0.40)/1000000</f>
        <v/>
      </c>
      <c r="Q13" s="14">
        <f>P13*I13</f>
        <v/>
      </c>
    </row>
    <row r="14">
      <c r="A14" s="8" t="inlineStr">
        <is>
          <t>United Arab Emirates</t>
        </is>
      </c>
      <c r="B14" s="9" t="n">
        <v>9.5</v>
      </c>
      <c r="C14" s="10" t="n">
        <v>0.875</v>
      </c>
      <c r="D14" s="11" t="n">
        <v>39200</v>
      </c>
      <c r="E14" s="10" t="n">
        <v>0.275</v>
      </c>
      <c r="F14" s="12" t="n">
        <v>95</v>
      </c>
      <c r="G14" s="13" t="n">
        <v>0.4</v>
      </c>
      <c r="H14" s="14">
        <f>F14*G14</f>
        <v/>
      </c>
      <c r="I14" s="13" t="n">
        <v>0.03</v>
      </c>
      <c r="J14" s="14">
        <f>H14*I14</f>
        <v/>
      </c>
      <c r="K14" s="15" t="n">
        <v>2.5</v>
      </c>
      <c r="L14" s="16">
        <f>B14/K14</f>
        <v/>
      </c>
      <c r="M14" s="17">
        <f>L14*C14*E14*1000</f>
        <v/>
      </c>
      <c r="N14" s="13" t="n">
        <v>0.1</v>
      </c>
      <c r="O14" s="17">
        <f>M14*N14*10</f>
        <v/>
      </c>
      <c r="P14" s="14">
        <f>(O14*950*0.40)/1000000</f>
        <v/>
      </c>
      <c r="Q14" s="14">
        <f>P14*I14</f>
        <v/>
      </c>
    </row>
    <row r="15">
      <c r="A15" s="8" t="inlineStr">
        <is>
          <t>Saudi Arabia</t>
        </is>
      </c>
      <c r="B15" s="9" t="n">
        <v>36.9</v>
      </c>
      <c r="C15" s="10" t="n">
        <v>0.847</v>
      </c>
      <c r="D15" s="11" t="n">
        <v>26500</v>
      </c>
      <c r="E15" s="10" t="n">
        <v>0.21</v>
      </c>
      <c r="F15" s="12" t="n">
        <v>180</v>
      </c>
      <c r="G15" s="13" t="n">
        <v>0.4</v>
      </c>
      <c r="H15" s="14">
        <f>F15*G15</f>
        <v/>
      </c>
      <c r="I15" s="13" t="n">
        <v>0.03</v>
      </c>
      <c r="J15" s="14">
        <f>H15*I15</f>
        <v/>
      </c>
      <c r="K15" s="15" t="n">
        <v>2.5</v>
      </c>
      <c r="L15" s="16">
        <f>B15/K15</f>
        <v/>
      </c>
      <c r="M15" s="17">
        <f>L15*C15*E15*1000</f>
        <v/>
      </c>
      <c r="N15" s="13" t="n">
        <v>0.1</v>
      </c>
      <c r="O15" s="17">
        <f>M15*N15*10</f>
        <v/>
      </c>
      <c r="P15" s="14">
        <f>(O15*950*0.40)/1000000</f>
        <v/>
      </c>
      <c r="Q15" s="14">
        <f>P15*I15</f>
        <v/>
      </c>
    </row>
    <row r="16">
      <c r="A16" s="8" t="inlineStr">
        <is>
          <t>India</t>
        </is>
      </c>
      <c r="B16" s="9" t="n">
        <v>1440</v>
      </c>
      <c r="C16" s="10" t="n">
        <v>0.364</v>
      </c>
      <c r="D16" s="11" t="n">
        <v>3200</v>
      </c>
      <c r="E16" s="10" t="n">
        <v>0.095</v>
      </c>
      <c r="F16" s="12" t="n">
        <v>310</v>
      </c>
      <c r="G16" s="13" t="n">
        <v>0.4</v>
      </c>
      <c r="H16" s="14">
        <f>F16*G16</f>
        <v/>
      </c>
      <c r="I16" s="13" t="n">
        <v>0.03</v>
      </c>
      <c r="J16" s="14">
        <f>H16*I16</f>
        <v/>
      </c>
      <c r="K16" s="15" t="n">
        <v>2.5</v>
      </c>
      <c r="L16" s="16">
        <f>B16/K16</f>
        <v/>
      </c>
      <c r="M16" s="17">
        <f>L16*C16*E16*1000</f>
        <v/>
      </c>
      <c r="N16" s="13" t="n">
        <v>0.1</v>
      </c>
      <c r="O16" s="17">
        <f>M16*N16*10</f>
        <v/>
      </c>
      <c r="P16" s="14">
        <f>(O16*950*0.40)/1000000</f>
        <v/>
      </c>
      <c r="Q16" s="14">
        <f>P16*I16</f>
        <v/>
      </c>
    </row>
    <row r="17">
      <c r="A17" s="18" t="inlineStr">
        <is>
          <t>Total / Average</t>
        </is>
      </c>
      <c r="B17" s="18" t="n"/>
      <c r="C17" s="18" t="n"/>
      <c r="D17" s="18" t="n"/>
      <c r="E17" s="18" t="n"/>
      <c r="F17" s="19">
        <f>SUM(F7:F16)</f>
        <v/>
      </c>
      <c r="G17" s="18" t="n"/>
      <c r="H17" s="19">
        <f>SUM(H7:H16)</f>
        <v/>
      </c>
      <c r="I17" s="18" t="n"/>
      <c r="J17" s="19">
        <f>SUM(J7:J16)</f>
        <v/>
      </c>
      <c r="K17" s="18" t="n"/>
      <c r="L17" s="18" t="n"/>
      <c r="M17" s="18" t="n"/>
      <c r="N17" s="18" t="n"/>
      <c r="O17" s="18" t="n"/>
      <c r="P17" s="18" t="n"/>
      <c r="Q17" s="1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81" customWidth="1" min="1" max="1"/>
    <col width="26" customWidth="1" min="2" max="2"/>
    <col width="21" customWidth="1" min="3" max="3"/>
    <col width="21" customWidth="1" min="4" max="4"/>
    <col width="26" customWidth="1" min="5" max="5"/>
    <col width="22" customWidth="1" min="6" max="6"/>
    <col width="25" customWidth="1" min="7" max="7"/>
    <col width="67" customWidth="1" min="8" max="8"/>
  </cols>
  <sheetData>
    <row r="1">
      <c r="A1" s="1" t="inlineStr">
        <is>
          <t>NovaHome Market Attractiveness Scoring Matrix (Pillar 1)</t>
        </is>
      </c>
    </row>
    <row r="2">
      <c r="A2" s="2" t="inlineStr">
        <is>
          <t>Multi-Criteria Evaluation (1.0 = Worst, 5.0 = Best) | Weighted Composite Score</t>
        </is>
      </c>
    </row>
    <row r="3"/>
    <row r="4">
      <c r="A4" s="3" t="inlineStr">
        <is>
          <t>Criteria Weights:</t>
        </is>
      </c>
      <c r="B4" s="20" t="n">
        <v>0.25</v>
      </c>
      <c r="C4" s="20" t="n">
        <v>0.2</v>
      </c>
      <c r="D4" s="20" t="n">
        <v>0.2</v>
      </c>
      <c r="E4" s="20" t="n">
        <v>0.15</v>
      </c>
      <c r="F4" s="20" t="n">
        <v>0.1</v>
      </c>
      <c r="G4" s="20" t="n">
        <v>0.1</v>
      </c>
      <c r="H4" s="3" t="inlineStr">
        <is>
          <t>100%</t>
        </is>
      </c>
    </row>
    <row r="5"/>
    <row r="6" ht="26" customHeight="1">
      <c r="A6" s="21" t="inlineStr">
        <is>
          <t>Country</t>
        </is>
      </c>
      <c r="B6" s="21" t="inlineStr">
        <is>
          <t>Market Size Score (25%)</t>
        </is>
      </c>
      <c r="C6" s="21" t="inlineStr">
        <is>
          <t>Growth Score (20%)</t>
        </is>
      </c>
      <c r="D6" s="21" t="inlineStr">
        <is>
          <t>Demand Score (20%)</t>
        </is>
      </c>
      <c r="E6" s="21" t="inlineStr">
        <is>
          <t>Competition Score (15%)</t>
        </is>
      </c>
      <c r="F6" s="21" t="inlineStr">
        <is>
          <t>Pricing Score (10%)</t>
        </is>
      </c>
      <c r="G6" s="21" t="inlineStr">
        <is>
          <t>Regulatory Score (10%)</t>
        </is>
      </c>
      <c r="H6" s="21" t="inlineStr">
        <is>
          <t>Weighted Attractiveness Score (1.0-5.0)</t>
        </is>
      </c>
    </row>
    <row r="7">
      <c r="A7" s="8" t="inlineStr">
        <is>
          <t>United States</t>
        </is>
      </c>
      <c r="B7" s="22" t="n">
        <v>4.99</v>
      </c>
      <c r="C7" s="22" t="n">
        <v>1.58</v>
      </c>
      <c r="D7" s="22" t="n">
        <v>4.8</v>
      </c>
      <c r="E7" s="22" t="n">
        <v>1.2</v>
      </c>
      <c r="F7" s="22" t="n">
        <v>4.98</v>
      </c>
      <c r="G7" s="22" t="n">
        <v>4.5</v>
      </c>
      <c r="H7" s="23">
        <f>B7*$B$4 + C7*$C$4 + D7*$D$4 + E7*$E$4 + F7*$F$4 + G7*$G$4</f>
        <v/>
      </c>
    </row>
    <row r="8">
      <c r="A8" s="8" t="inlineStr">
        <is>
          <t>Canada</t>
        </is>
      </c>
      <c r="B8" s="22" t="n">
        <v>2.78</v>
      </c>
      <c r="C8" s="22" t="n">
        <v>1.8</v>
      </c>
      <c r="D8" s="22" t="n">
        <v>3.6</v>
      </c>
      <c r="E8" s="22" t="n">
        <v>1.8</v>
      </c>
      <c r="F8" s="22" t="n">
        <v>4.05</v>
      </c>
      <c r="G8" s="22" t="n">
        <v>4.2</v>
      </c>
      <c r="H8" s="23">
        <f>B8*$B$4 + C8*$C$4 + D8*$D$4 + E8*$E$4 + F8*$F$4 + G8*$G$4</f>
        <v/>
      </c>
    </row>
    <row r="9">
      <c r="A9" s="8" t="inlineStr">
        <is>
          <t>United Kingdom</t>
        </is>
      </c>
      <c r="B9" s="22" t="n">
        <v>3.22</v>
      </c>
      <c r="C9" s="22" t="n">
        <v>2.31</v>
      </c>
      <c r="D9" s="22" t="n">
        <v>4.2</v>
      </c>
      <c r="E9" s="22" t="n">
        <v>1.9</v>
      </c>
      <c r="F9" s="22" t="n">
        <v>3.72</v>
      </c>
      <c r="G9" s="22" t="n">
        <v>3.5</v>
      </c>
      <c r="H9" s="23">
        <f>B9*$B$4 + C9*$C$4 + D9*$D$4 + E9*$E$4 + F9*$F$4 + G9*$G$4</f>
        <v/>
      </c>
    </row>
    <row r="10">
      <c r="A10" s="8" t="inlineStr">
        <is>
          <t>Germany</t>
        </is>
      </c>
      <c r="B10" s="22" t="n">
        <v>3.39</v>
      </c>
      <c r="C10" s="22" t="n">
        <v>2.6</v>
      </c>
      <c r="D10" s="22" t="n">
        <v>3.9</v>
      </c>
      <c r="E10" s="22" t="n">
        <v>2.4</v>
      </c>
      <c r="F10" s="22" t="n">
        <v>3.94</v>
      </c>
      <c r="G10" s="22" t="n">
        <v>2.8</v>
      </c>
      <c r="H10" s="23">
        <f>B10*$B$4 + C10*$C$4 + D10*$D$4 + E10*$E$4 + F10*$F$4 + G10*$G$4</f>
        <v/>
      </c>
    </row>
    <row r="11">
      <c r="A11" s="8" t="inlineStr">
        <is>
          <t>Netherlands</t>
        </is>
      </c>
      <c r="B11" s="22" t="n">
        <v>1.89</v>
      </c>
      <c r="C11" s="22" t="n">
        <v>2.45</v>
      </c>
      <c r="D11" s="22" t="n">
        <v>3.4</v>
      </c>
      <c r="E11" s="22" t="n">
        <v>3.1</v>
      </c>
      <c r="F11" s="22" t="n">
        <v>4.12</v>
      </c>
      <c r="G11" s="22" t="n">
        <v>3.9</v>
      </c>
      <c r="H11" s="23">
        <f>B11*$B$4 + C11*$C$4 + D11*$D$4 + E11*$E$4 + F11*$F$4 + G11*$G$4</f>
        <v/>
      </c>
    </row>
    <row r="12">
      <c r="A12" s="8" t="inlineStr">
        <is>
          <t>Australia</t>
        </is>
      </c>
      <c r="B12" s="22" t="n">
        <v>2.42</v>
      </c>
      <c r="C12" s="22" t="n">
        <v>2.89</v>
      </c>
      <c r="D12" s="22" t="n">
        <v>3.8</v>
      </c>
      <c r="E12" s="22" t="n">
        <v>2.6</v>
      </c>
      <c r="F12" s="22" t="n">
        <v>4.16</v>
      </c>
      <c r="G12" s="22" t="n">
        <v>3.6</v>
      </c>
      <c r="H12" s="23">
        <f>B12*$B$4 + C12*$C$4 + D12*$D$4 + E12*$E$4 + F12*$F$4 + G12*$G$4</f>
        <v/>
      </c>
    </row>
    <row r="13">
      <c r="A13" s="8" t="inlineStr">
        <is>
          <t>Singapore</t>
        </is>
      </c>
      <c r="B13" s="22" t="n">
        <v>1.04</v>
      </c>
      <c r="C13" s="22" t="n">
        <v>3.33</v>
      </c>
      <c r="D13" s="22" t="n">
        <v>2.2</v>
      </c>
      <c r="E13" s="22" t="n">
        <v>3.3</v>
      </c>
      <c r="F13" s="22" t="n">
        <v>4.06</v>
      </c>
      <c r="G13" s="22" t="n">
        <v>4</v>
      </c>
      <c r="H13" s="23">
        <f>B13*$B$4 + C13*$C$4 + D13*$D$4 + E13*$E$4 + F13*$F$4 + G13*$G$4</f>
        <v/>
      </c>
    </row>
    <row r="14">
      <c r="A14" s="8" t="inlineStr">
        <is>
          <t>United Arab Emirates</t>
        </is>
      </c>
      <c r="B14" s="22" t="n">
        <v>1.4</v>
      </c>
      <c r="C14" s="22" t="n">
        <v>4.49</v>
      </c>
      <c r="D14" s="22" t="n">
        <v>3.1</v>
      </c>
      <c r="E14" s="22" t="n">
        <v>3.2</v>
      </c>
      <c r="F14" s="22" t="n">
        <v>3.78</v>
      </c>
      <c r="G14" s="22" t="n">
        <v>3.2</v>
      </c>
      <c r="H14" s="23">
        <f>B14*$B$4 + C14*$C$4 + D14*$D$4 + E14*$E$4 + F14*$F$4 + G14*$G$4</f>
        <v/>
      </c>
    </row>
    <row r="15">
      <c r="A15" s="8" t="inlineStr">
        <is>
          <t>Saudi Arabia</t>
        </is>
      </c>
      <c r="B15" s="22" t="n">
        <v>2</v>
      </c>
      <c r="C15" s="22" t="n">
        <v>5</v>
      </c>
      <c r="D15" s="22" t="n">
        <v>2.8</v>
      </c>
      <c r="E15" s="22" t="n">
        <v>3.5</v>
      </c>
      <c r="F15" s="22" t="n">
        <v>2.81</v>
      </c>
      <c r="G15" s="22" t="n">
        <v>1.9</v>
      </c>
      <c r="H15" s="23">
        <f>B15*$B$4 + C15*$C$4 + D15*$D$4 + E15*$E$4 + F15*$F$4 + G15*$G$4</f>
        <v/>
      </c>
    </row>
    <row r="16">
      <c r="A16" s="8" t="inlineStr">
        <is>
          <t>India</t>
        </is>
      </c>
      <c r="B16" s="22" t="n">
        <v>2.52</v>
      </c>
      <c r="C16" s="22" t="n">
        <v>5</v>
      </c>
      <c r="D16" s="22" t="n">
        <v>1.5</v>
      </c>
      <c r="E16" s="22" t="n">
        <v>2.2</v>
      </c>
      <c r="F16" s="22" t="n">
        <v>1.02</v>
      </c>
      <c r="G16" s="22" t="n">
        <v>1.4</v>
      </c>
      <c r="H16" s="23">
        <f>B16*$B$4 + C16*$C$4 + D16*$D$4 + E16*$E$4 + F16*$F$4 + G16*$G$4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91" customWidth="1" min="1" max="1"/>
    <col width="2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NovaHome Serviceable Obtainable Market (SOM) Sensitivity Matrix</t>
        </is>
      </c>
    </row>
    <row r="2">
      <c r="A2" s="2" t="inlineStr">
        <is>
          <t>Impact of Market Share Capture Rates (1.0% to 5.0%) on Annual Revenue Potential ($M USD)</t>
        </is>
      </c>
    </row>
    <row r="3"/>
    <row r="4"/>
    <row r="5">
      <c r="A5" s="24" t="inlineStr">
        <is>
          <t>Country</t>
        </is>
      </c>
      <c r="B5" s="24" t="inlineStr">
        <is>
          <t>Top-Down SAM ($M)</t>
        </is>
      </c>
      <c r="C5" s="25" t="inlineStr">
        <is>
          <t>SOM @ 1% Share</t>
        </is>
      </c>
      <c r="D5" s="25" t="inlineStr">
        <is>
          <t>SOM @ 2% Share</t>
        </is>
      </c>
      <c r="E5" s="25" t="inlineStr">
        <is>
          <t>SOM @ 3% Share</t>
        </is>
      </c>
      <c r="F5" s="25" t="inlineStr">
        <is>
          <t>SOM @ 4% Share</t>
        </is>
      </c>
      <c r="G5" s="25" t="inlineStr">
        <is>
          <t>SOM @ 5% Share</t>
        </is>
      </c>
    </row>
    <row r="6">
      <c r="A6" s="8" t="inlineStr">
        <is>
          <t>United States</t>
        </is>
      </c>
      <c r="B6" s="12">
        <f>'TAM SAM SOM Sizing'!H7</f>
        <v/>
      </c>
      <c r="C6" s="14">
        <f>B6*0.01</f>
        <v/>
      </c>
      <c r="D6" s="14">
        <f>B6*0.02</f>
        <v/>
      </c>
      <c r="E6" s="14">
        <f>B6*0.03</f>
        <v/>
      </c>
      <c r="F6" s="14">
        <f>B6*0.04</f>
        <v/>
      </c>
      <c r="G6" s="14">
        <f>B6*0.05</f>
        <v/>
      </c>
    </row>
    <row r="7">
      <c r="A7" s="8" t="inlineStr">
        <is>
          <t>Canada</t>
        </is>
      </c>
      <c r="B7" s="12">
        <f>'TAM SAM SOM Sizing'!H8</f>
        <v/>
      </c>
      <c r="C7" s="14">
        <f>B7*0.01</f>
        <v/>
      </c>
      <c r="D7" s="14">
        <f>B7*0.02</f>
        <v/>
      </c>
      <c r="E7" s="14">
        <f>B7*0.03</f>
        <v/>
      </c>
      <c r="F7" s="14">
        <f>B7*0.04</f>
        <v/>
      </c>
      <c r="G7" s="14">
        <f>B7*0.05</f>
        <v/>
      </c>
    </row>
    <row r="8">
      <c r="A8" s="8" t="inlineStr">
        <is>
          <t>United Kingdom</t>
        </is>
      </c>
      <c r="B8" s="12">
        <f>'TAM SAM SOM Sizing'!H9</f>
        <v/>
      </c>
      <c r="C8" s="14">
        <f>B8*0.01</f>
        <v/>
      </c>
      <c r="D8" s="14">
        <f>B8*0.02</f>
        <v/>
      </c>
      <c r="E8" s="14">
        <f>B8*0.03</f>
        <v/>
      </c>
      <c r="F8" s="14">
        <f>B8*0.04</f>
        <v/>
      </c>
      <c r="G8" s="14">
        <f>B8*0.05</f>
        <v/>
      </c>
    </row>
    <row r="9">
      <c r="A9" s="8" t="inlineStr">
        <is>
          <t>Germany</t>
        </is>
      </c>
      <c r="B9" s="12">
        <f>'TAM SAM SOM Sizing'!H10</f>
        <v/>
      </c>
      <c r="C9" s="14">
        <f>B9*0.01</f>
        <v/>
      </c>
      <c r="D9" s="14">
        <f>B9*0.02</f>
        <v/>
      </c>
      <c r="E9" s="14">
        <f>B9*0.03</f>
        <v/>
      </c>
      <c r="F9" s="14">
        <f>B9*0.04</f>
        <v/>
      </c>
      <c r="G9" s="14">
        <f>B9*0.05</f>
        <v/>
      </c>
    </row>
    <row r="10">
      <c r="A10" s="8" t="inlineStr">
        <is>
          <t>Netherlands</t>
        </is>
      </c>
      <c r="B10" s="12">
        <f>'TAM SAM SOM Sizing'!H11</f>
        <v/>
      </c>
      <c r="C10" s="14">
        <f>B10*0.01</f>
        <v/>
      </c>
      <c r="D10" s="14">
        <f>B10*0.02</f>
        <v/>
      </c>
      <c r="E10" s="14">
        <f>B10*0.03</f>
        <v/>
      </c>
      <c r="F10" s="14">
        <f>B10*0.04</f>
        <v/>
      </c>
      <c r="G10" s="14">
        <f>B10*0.05</f>
        <v/>
      </c>
    </row>
    <row r="11">
      <c r="A11" s="8" t="inlineStr">
        <is>
          <t>Australia</t>
        </is>
      </c>
      <c r="B11" s="12">
        <f>'TAM SAM SOM Sizing'!H12</f>
        <v/>
      </c>
      <c r="C11" s="14">
        <f>B11*0.01</f>
        <v/>
      </c>
      <c r="D11" s="14">
        <f>B11*0.02</f>
        <v/>
      </c>
      <c r="E11" s="14">
        <f>B11*0.03</f>
        <v/>
      </c>
      <c r="F11" s="14">
        <f>B11*0.04</f>
        <v/>
      </c>
      <c r="G11" s="14">
        <f>B11*0.05</f>
        <v/>
      </c>
    </row>
    <row r="12">
      <c r="A12" s="8" t="inlineStr">
        <is>
          <t>Singapore</t>
        </is>
      </c>
      <c r="B12" s="12">
        <f>'TAM SAM SOM Sizing'!H13</f>
        <v/>
      </c>
      <c r="C12" s="14">
        <f>B12*0.01</f>
        <v/>
      </c>
      <c r="D12" s="14">
        <f>B12*0.02</f>
        <v/>
      </c>
      <c r="E12" s="14">
        <f>B12*0.03</f>
        <v/>
      </c>
      <c r="F12" s="14">
        <f>B12*0.04</f>
        <v/>
      </c>
      <c r="G12" s="14">
        <f>B12*0.05</f>
        <v/>
      </c>
    </row>
    <row r="13">
      <c r="A13" s="8" t="inlineStr">
        <is>
          <t>United Arab Emirates</t>
        </is>
      </c>
      <c r="B13" s="12">
        <f>'TAM SAM SOM Sizing'!H14</f>
        <v/>
      </c>
      <c r="C13" s="14">
        <f>B13*0.01</f>
        <v/>
      </c>
      <c r="D13" s="14">
        <f>B13*0.02</f>
        <v/>
      </c>
      <c r="E13" s="14">
        <f>B13*0.03</f>
        <v/>
      </c>
      <c r="F13" s="14">
        <f>B13*0.04</f>
        <v/>
      </c>
      <c r="G13" s="14">
        <f>B13*0.05</f>
        <v/>
      </c>
    </row>
    <row r="14">
      <c r="A14" s="8" t="inlineStr">
        <is>
          <t>Saudi Arabia</t>
        </is>
      </c>
      <c r="B14" s="12">
        <f>'TAM SAM SOM Sizing'!H15</f>
        <v/>
      </c>
      <c r="C14" s="14">
        <f>B14*0.01</f>
        <v/>
      </c>
      <c r="D14" s="14">
        <f>B14*0.02</f>
        <v/>
      </c>
      <c r="E14" s="14">
        <f>B14*0.03</f>
        <v/>
      </c>
      <c r="F14" s="14">
        <f>B14*0.04</f>
        <v/>
      </c>
      <c r="G14" s="14">
        <f>B14*0.05</f>
        <v/>
      </c>
    </row>
    <row r="15">
      <c r="A15" s="8" t="inlineStr">
        <is>
          <t>India</t>
        </is>
      </c>
      <c r="B15" s="12">
        <f>'TAM SAM SOM Sizing'!H16</f>
        <v/>
      </c>
      <c r="C15" s="14">
        <f>B15*0.01</f>
        <v/>
      </c>
      <c r="D15" s="14">
        <f>B15*0.02</f>
        <v/>
      </c>
      <c r="E15" s="14">
        <f>B15*0.03</f>
        <v/>
      </c>
      <c r="F15" s="14">
        <f>B15*0.04</f>
        <v/>
      </c>
      <c r="G15" s="14">
        <f>B15*0.05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18" customWidth="1" min="2" max="2"/>
    <col width="25" customWidth="1" min="3" max="3"/>
    <col width="96" customWidth="1" min="4" max="4"/>
    <col width="53" customWidth="1" min="5" max="5"/>
  </cols>
  <sheetData>
    <row r="1">
      <c r="A1" s="1" t="inlineStr">
        <is>
          <t>NovaHome Market Sizing Model — Assumptions &amp; Governance Register</t>
        </is>
      </c>
    </row>
    <row r="2">
      <c r="A2" s="2" t="inlineStr">
        <is>
          <t>Audit Log for All Sizing Multipliers, Share Caps, and Baseline Benchmarks</t>
        </is>
      </c>
    </row>
    <row r="3"/>
    <row r="4"/>
    <row r="5" ht="24" customHeight="1">
      <c r="A5" s="24" t="inlineStr">
        <is>
          <t>Parameter / Multiplier</t>
        </is>
      </c>
      <c r="B5" s="24" t="inlineStr">
        <is>
          <t>Baseline Value</t>
        </is>
      </c>
      <c r="C5" s="24" t="inlineStr">
        <is>
          <t>Type</t>
        </is>
      </c>
      <c r="D5" s="24" t="inlineStr">
        <is>
          <t>Operational &amp; Strategic Rationale</t>
        </is>
      </c>
      <c r="E5" s="24" t="inlineStr">
        <is>
          <t>Primary Source</t>
        </is>
      </c>
    </row>
    <row r="6">
      <c r="A6" s="26" t="inlineStr">
        <is>
          <t>Mid-Market Connected Segment %</t>
        </is>
      </c>
      <c r="B6" s="27" t="inlineStr">
        <is>
          <t>40.0%</t>
        </is>
      </c>
      <c r="C6" s="26" t="inlineStr">
        <is>
          <t>Commercial Assumption</t>
        </is>
      </c>
      <c r="D6" s="26" t="inlineStr">
        <is>
          <t>Share of home fitness equipment market in the $600-$1,200 connected tier vs. discount/luxury</t>
        </is>
      </c>
      <c r="E6" s="26" t="inlineStr">
        <is>
          <t>Statista Worldwide Fitness Insights (SRC-006)</t>
        </is>
      </c>
    </row>
    <row r="7">
      <c r="A7" s="26" t="inlineStr">
        <is>
          <t>Target Achievable Market Share (SOM)</t>
        </is>
      </c>
      <c r="B7" s="27" t="inlineStr">
        <is>
          <t>3.0%</t>
        </is>
      </c>
      <c r="C7" s="26" t="inlineStr">
        <is>
          <t>Strategic Assumption</t>
        </is>
      </c>
      <c r="D7" s="26" t="inlineStr">
        <is>
          <t>Realistic 3-year market share achievable via D2C &amp; 3PL distribution without retail presence</t>
        </is>
      </c>
      <c r="E7" s="26" t="inlineStr">
        <is>
          <t>NovaHome Executive Case Brief (NH-STRAT-2026-001)</t>
        </is>
      </c>
    </row>
    <row r="8">
      <c r="A8" s="26" t="inlineStr">
        <is>
          <t>Domestic US Market Share</t>
        </is>
      </c>
      <c r="B8" s="27" t="inlineStr">
        <is>
          <t>8.0%</t>
        </is>
      </c>
      <c r="C8" s="26" t="inlineStr">
        <is>
          <t>Empirical Benchmark</t>
        </is>
      </c>
      <c r="D8" s="26" t="inlineStr">
        <is>
          <t>Current NovaHome domestic market share in North American mid-market connected segment</t>
        </is>
      </c>
      <c r="E8" s="26" t="inlineStr">
        <is>
          <t>NovaHome FY2025 Internal Financials</t>
        </is>
      </c>
    </row>
    <row r="9">
      <c r="A9" s="26" t="inlineStr">
        <is>
          <t>Average Household Size</t>
        </is>
      </c>
      <c r="B9" s="27" t="inlineStr">
        <is>
          <t>2.5 Persons</t>
        </is>
      </c>
      <c r="C9" s="26" t="inlineStr">
        <is>
          <t>Demographic Standard</t>
        </is>
      </c>
      <c r="D9" s="26" t="inlineStr">
        <is>
          <t>Average household size in urban centers across OECD and European nations</t>
        </is>
      </c>
      <c r="E9" s="26" t="inlineStr">
        <is>
          <t>OECD Family Database / Eurostat</t>
        </is>
      </c>
    </row>
    <row r="10">
      <c r="A10" s="26" t="inlineStr">
        <is>
          <t>Annual Hardware Buying / Upgrade Rate</t>
        </is>
      </c>
      <c r="B10" s="27" t="inlineStr">
        <is>
          <t>10.0%</t>
        </is>
      </c>
      <c r="C10" s="26" t="inlineStr">
        <is>
          <t>Category Assumption</t>
        </is>
      </c>
      <c r="D10" s="26" t="inlineStr">
        <is>
          <t>Reflects an 8-to-10-year product replacement and new customer adoption lifecycle</t>
        </is>
      </c>
      <c r="E10" s="26" t="inlineStr">
        <is>
          <t>IHRSA &amp; EuropeActive Market Studies</t>
        </is>
      </c>
    </row>
    <row r="11">
      <c r="A11" s="26" t="inlineStr">
        <is>
          <t>Average Selling Price (ASP)</t>
        </is>
      </c>
      <c r="B11" s="27" t="inlineStr">
        <is>
          <t>$950 USD</t>
        </is>
      </c>
      <c r="C11" s="26" t="inlineStr">
        <is>
          <t>Pricing Benchmark</t>
        </is>
      </c>
      <c r="D11" s="26" t="inlineStr">
        <is>
          <t>Blended average order value across NovaPulse Bike, Rower, and Strength Station</t>
        </is>
      </c>
      <c r="E11" s="26" t="inlineStr">
        <is>
          <t>NovaHome FY2025 Preliminary Accounts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2026-09-11T14:19:48Z</dcterms:created>
  <dcterms:modified xsi:type="dcterms:W3CDTF">2026-09-11T14:19:48Z</dcterms:modified>
</cp:coreProperties>
</file>